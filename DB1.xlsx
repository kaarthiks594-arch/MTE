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one-my.sharepoint.com/personal/kaarthikganapathy_s_kone_com/Documents/Documents/MOBILE APP/backend/"/>
    </mc:Choice>
  </mc:AlternateContent>
  <xr:revisionPtr revIDLastSave="41" documentId="8_{E6678FB5-F937-44F9-8914-142810778DBF}" xr6:coauthVersionLast="47" xr6:coauthVersionMax="47" xr10:uidLastSave="{112998AE-E448-436E-8662-685D1B970CE0}"/>
  <bookViews>
    <workbookView xWindow="-108" yWindow="-108" windowWidth="23256" windowHeight="12456" xr2:uid="{5263CD31-4A36-4B2D-9377-916479264C9D}"/>
  </bookViews>
  <sheets>
    <sheet name="modules" sheetId="1" r:id="rId1"/>
    <sheet name="models" sheetId="2" r:id="rId2"/>
    <sheet name="vari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6" i="3" l="1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1" i="3"/>
  <c r="D240" i="3"/>
  <c r="D239" i="3"/>
  <c r="D238" i="3"/>
  <c r="D23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97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71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39" i="3"/>
  <c r="D34" i="3"/>
  <c r="D35" i="3"/>
  <c r="D36" i="3"/>
  <c r="D37" i="3"/>
  <c r="C88" i="3"/>
  <c r="C87" i="3"/>
  <c r="C80" i="3"/>
  <c r="C79" i="3"/>
  <c r="C78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<sst xmlns="http://schemas.openxmlformats.org/spreadsheetml/2006/main" count="967" uniqueCount="643">
  <si>
    <t>M01</t>
  </si>
  <si>
    <t>Machines</t>
  </si>
  <si>
    <t>M02</t>
  </si>
  <si>
    <t>Ropes and compensation</t>
  </si>
  <si>
    <t>M03</t>
  </si>
  <si>
    <t>Counterweights</t>
  </si>
  <si>
    <t>M04</t>
  </si>
  <si>
    <t>Electrification</t>
  </si>
  <si>
    <t>M05</t>
  </si>
  <si>
    <t>Drive system</t>
  </si>
  <si>
    <t>M06</t>
  </si>
  <si>
    <t>Signalization</t>
  </si>
  <si>
    <t>M07</t>
  </si>
  <si>
    <t>Shaft equipments</t>
  </si>
  <si>
    <t>M08</t>
  </si>
  <si>
    <t>Guide shoe</t>
  </si>
  <si>
    <t>M09</t>
  </si>
  <si>
    <t>Peripheral devices</t>
  </si>
  <si>
    <t>M10</t>
  </si>
  <si>
    <t>Car</t>
  </si>
  <si>
    <t>M11</t>
  </si>
  <si>
    <t>Car Slings</t>
  </si>
  <si>
    <t>M12</t>
  </si>
  <si>
    <t>Door and facings</t>
  </si>
  <si>
    <t>MD01</t>
  </si>
  <si>
    <t>KDD</t>
  </si>
  <si>
    <t>MD02</t>
  </si>
  <si>
    <t>KDH</t>
  </si>
  <si>
    <t>MD03</t>
  </si>
  <si>
    <t>KDL</t>
  </si>
  <si>
    <t>MD04</t>
  </si>
  <si>
    <t>KDM</t>
  </si>
  <si>
    <t>MD05</t>
  </si>
  <si>
    <t>KDX</t>
  </si>
  <si>
    <t>MD06</t>
  </si>
  <si>
    <t>PDX</t>
  </si>
  <si>
    <t>MD07</t>
  </si>
  <si>
    <t>V3F</t>
  </si>
  <si>
    <t>MD08</t>
  </si>
  <si>
    <t>OTHERS</t>
  </si>
  <si>
    <t xml:space="preserve">Replacing contactor control PCB (A9) </t>
  </si>
  <si>
    <t xml:space="preserve">Replacing voltage feedback PCB (A8) </t>
  </si>
  <si>
    <t xml:space="preserve">Replacing field control module (A24) </t>
  </si>
  <si>
    <t xml:space="preserve">Replacing power supply PCB (A5) </t>
  </si>
  <si>
    <t xml:space="preserve">Replacing pre-charge PCB (A23) </t>
  </si>
  <si>
    <t xml:space="preserve">Replacing field control module fan </t>
  </si>
  <si>
    <t xml:space="preserve">Replacing fan module </t>
  </si>
  <si>
    <t xml:space="preserve">Replacing DC output contactor (ME) </t>
  </si>
  <si>
    <t xml:space="preserve">Replacing UTM and/or PCM contactors </t>
  </si>
  <si>
    <t xml:space="preserve">Replacing operator key pad </t>
  </si>
  <si>
    <t xml:space="preserve">Replacing product interface PCB (A3) </t>
  </si>
  <si>
    <t xml:space="preserve">Replacing main control PCB (A1) </t>
  </si>
  <si>
    <t>Replacing product interface PCB (A4)</t>
  </si>
  <si>
    <t xml:space="preserve">Replacing main control PCB (A2) </t>
  </si>
  <si>
    <t xml:space="preserve">Replacing customer interface PCB (A6) </t>
  </si>
  <si>
    <t xml:space="preserve">Replacing power distribution PCB (A10) </t>
  </si>
  <si>
    <t xml:space="preserve">Replacing Cube ID PCBs (A25) and (A26) on the line and motor bridge on the product interface boards (A3) and (A4) </t>
  </si>
  <si>
    <t>Replacing control transformer</t>
  </si>
  <si>
    <t xml:space="preserve">Replacing brake control module </t>
  </si>
  <si>
    <t>Replacing contactor module</t>
  </si>
  <si>
    <t>Replacing hoist motor fan module</t>
  </si>
  <si>
    <t>Replacing control PCB</t>
  </si>
  <si>
    <t>Replacing motor field supply module fan (low voltage)</t>
  </si>
  <si>
    <t>Replacing field control module fan (high voltage)</t>
  </si>
  <si>
    <t>Replacing DC output contactor (ME)</t>
  </si>
  <si>
    <t>Replacing dynamic braking resistors</t>
  </si>
  <si>
    <t xml:space="preserve">Replacing complete power tray </t>
  </si>
  <si>
    <t xml:space="preserve">Replacing power tray control circuit boards </t>
  </si>
  <si>
    <t>Replacing power tray power supply module</t>
  </si>
  <si>
    <t xml:space="preserve">Replacing power tray printed circuit boards </t>
  </si>
  <si>
    <t>Replacing power tray fans</t>
  </si>
  <si>
    <t>Replacing DCBH module</t>
  </si>
  <si>
    <t>MTE</t>
  </si>
  <si>
    <t>Replacement of DCBH module</t>
  </si>
  <si>
    <t xml:space="preserve">Replacement of fans </t>
  </si>
  <si>
    <t xml:space="preserve">Replacement of cabinet heater </t>
  </si>
  <si>
    <t xml:space="preserve">Replacement of line bridge (ISU) </t>
  </si>
  <si>
    <t xml:space="preserve">Replacement of motor bridge (INU) </t>
  </si>
  <si>
    <t>Replacement of RFI-filter</t>
  </si>
  <si>
    <t xml:space="preserve">Replacement of KDH100 and KDH150 LCL-filter </t>
  </si>
  <si>
    <t xml:space="preserve">Replacement of KDH 200 / KDH300 LCL-filter </t>
  </si>
  <si>
    <t>Replacement of dU/dt-filter</t>
  </si>
  <si>
    <t>Replacement of control transformer</t>
  </si>
  <si>
    <t>Replacement of the brake control module</t>
  </si>
  <si>
    <t>Replacement of motor (INU) control module (RDCU)</t>
  </si>
  <si>
    <t>Replace DCBH module</t>
  </si>
  <si>
    <t>Replace fans in drive cabinet</t>
  </si>
  <si>
    <t>Replace large drive module fan</t>
  </si>
  <si>
    <t>Replace small drive module fan</t>
  </si>
  <si>
    <t>Replace RTAC board</t>
  </si>
  <si>
    <t>Replace RRIA board</t>
  </si>
  <si>
    <t>Replace RDCO board</t>
  </si>
  <si>
    <t>Replace GPUS boards / fuses (ASRU/AGPS)</t>
  </si>
  <si>
    <t>Drive Control Boards (RMIO) Replacement</t>
  </si>
  <si>
    <t>Replace Whole Drive Module</t>
  </si>
  <si>
    <t>GPUS Module Replacement</t>
  </si>
  <si>
    <t>Contactor Module Replacement</t>
  </si>
  <si>
    <t>Main Contactor (201) Replacement</t>
  </si>
  <si>
    <t>Transformer Replacement</t>
  </si>
  <si>
    <t>DU/DT Filter Replacement</t>
  </si>
  <si>
    <t>Brake Control Module KDHBCM (388:1 And 388:2) Replacement</t>
  </si>
  <si>
    <t>Replace 201:3 or 201:4 contactors</t>
  </si>
  <si>
    <t>Replace HIPO-M-A reader</t>
  </si>
  <si>
    <t xml:space="preserve">Replace encoder wheel or O-ring of encoder wheel </t>
  </si>
  <si>
    <t>Replace encoder tightening spring</t>
  </si>
  <si>
    <t>Replace encoder unit</t>
  </si>
  <si>
    <t>Replace air filters</t>
  </si>
  <si>
    <t>Replace fuse</t>
  </si>
  <si>
    <t>Replace fans in cabinet fan module 1</t>
  </si>
  <si>
    <t>Replace fans in cabinet fan module 2</t>
  </si>
  <si>
    <t>Replace LCL fan</t>
  </si>
  <si>
    <t>Replace line bridge fan and motor bridge fan</t>
  </si>
  <si>
    <t>Replace RTAC boards</t>
  </si>
  <si>
    <t>Replace RRIA boards</t>
  </si>
  <si>
    <t>Replace RDCO-board</t>
  </si>
  <si>
    <t>Replace RDCU board for line bridge</t>
  </si>
  <si>
    <t>Replace RDCU board for motor bridge</t>
  </si>
  <si>
    <t>Replace heater elements</t>
  </si>
  <si>
    <t>Replace A441 and A442 boards</t>
  </si>
  <si>
    <t>Replace K1 contactor</t>
  </si>
  <si>
    <t xml:space="preserve">Replace resistors R1 - R3 and R101 - R103, KDH300S drive </t>
  </si>
  <si>
    <t>Replace resistors R1.1 - R3.2 and 2 R101.1 - R103.2, KDH450S drive</t>
  </si>
  <si>
    <t>Replace DBR contactor (K7).</t>
  </si>
  <si>
    <t>Repalce HIPO-M-A reader</t>
  </si>
  <si>
    <t>Replace encoder wheel or O-ring of encoder wheel</t>
  </si>
  <si>
    <t>Replace INU RMIO board connectors (Single and Dual)</t>
  </si>
  <si>
    <t>Replace ISU RMIO board connectors</t>
  </si>
  <si>
    <t>Replace drive module</t>
  </si>
  <si>
    <t>Repalce main cooling fan</t>
  </si>
  <si>
    <t>replace auxiliary cooling fan</t>
  </si>
  <si>
    <t>Repalce main contactors</t>
  </si>
  <si>
    <t>replace auxiliary contactors</t>
  </si>
  <si>
    <t>repalce DBR contactors</t>
  </si>
  <si>
    <t>repalce transformer</t>
  </si>
  <si>
    <t>replace brake control module</t>
  </si>
  <si>
    <t>replace power supplies</t>
  </si>
  <si>
    <t>replace cabinet filters</t>
  </si>
  <si>
    <t>replace cabinet fan</t>
  </si>
  <si>
    <t>replace DCBH2 module</t>
  </si>
  <si>
    <t>Replace drive module cooling fans</t>
  </si>
  <si>
    <t>Repalce cabinet door cooling fan</t>
  </si>
  <si>
    <t>Replace AC or DC fuses</t>
  </si>
  <si>
    <t>Replace fuses, MCB or RCD</t>
  </si>
  <si>
    <t>Replace DBR contactor</t>
  </si>
  <si>
    <t>Repalce KDH225N main contactor</t>
  </si>
  <si>
    <t>Repalce KDH300N/475N/675N main contactor</t>
  </si>
  <si>
    <t>Replace auxilary contactor</t>
  </si>
  <si>
    <t>replace brake module</t>
  </si>
  <si>
    <t>Replace control unit battery</t>
  </si>
  <si>
    <t>Replace encoder converter A416.2</t>
  </si>
  <si>
    <t>Repalce power supply T241 And buffer T241_1</t>
  </si>
  <si>
    <t>replace power supplies or inverters</t>
  </si>
  <si>
    <t>replace LCL filter</t>
  </si>
  <si>
    <t>Replace varistors</t>
  </si>
  <si>
    <t>Replace AC to DC inverter</t>
  </si>
  <si>
    <t>replace DC fuse</t>
  </si>
  <si>
    <t>Replace fuse monitor</t>
  </si>
  <si>
    <t>replace charging circuit contactor</t>
  </si>
  <si>
    <t>replace distribuiton block</t>
  </si>
  <si>
    <t>replace resistor</t>
  </si>
  <si>
    <t>Replace DCBH to DCBH2 module</t>
  </si>
  <si>
    <t>Replacment of (ACS 600/ACS800) with ACS880 drives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</si>
  <si>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</si>
  <si>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</si>
  <si>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</si>
  <si>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</si>
  <si>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</si>
  <si>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</si>
  <si>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</si>
  <si>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</si>
  <si>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</si>
  <si>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</si>
  <si>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</si>
  <si>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</si>
  <si>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</si>
  <si>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</si>
  <si>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</si>
  <si>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</si>
  <si>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</si>
  <si>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</si>
  <si>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</si>
  <si>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</si>
  <si>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</si>
  <si>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</si>
  <si>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</si>
  <si>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</si>
  <si>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</si>
  <si>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</si>
  <si>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</si>
  <si>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</si>
  <si>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</si>
  <si>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</si>
  <si>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</si>
  <si>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</si>
  <si>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</si>
  <si>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</si>
  <si>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</si>
  <si>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</si>
  <si>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</si>
  <si>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</si>
  <si>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</si>
  <si>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</si>
  <si>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</si>
  <si>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</si>
  <si>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</si>
  <si>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</si>
  <si>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</si>
  <si>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</si>
  <si>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</si>
  <si>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</si>
  <si>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</si>
  <si>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</si>
  <si>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</si>
  <si>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</si>
  <si>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</si>
  <si>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</si>
  <si>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</si>
  <si>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</si>
  <si>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</si>
  <si>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</si>
  <si>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</si>
  <si>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</si>
  <si>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</si>
  <si>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</si>
  <si>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</si>
  <si>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</si>
  <si>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</si>
  <si>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</si>
  <si>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</si>
  <si>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</si>
  <si>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</si>
  <si>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</si>
  <si>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</si>
  <si>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</si>
  <si>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</si>
  <si>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</si>
  <si>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</si>
  <si>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</si>
  <si>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</si>
  <si>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</si>
  <si>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</si>
  <si>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</si>
  <si>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</si>
  <si>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</si>
  <si>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</si>
  <si>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</si>
  <si>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</si>
  <si>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</si>
  <si>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</si>
  <si>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</si>
  <si>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</si>
  <si>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</si>
  <si>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</si>
  <si>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</si>
  <si>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</si>
  <si>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</si>
  <si>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</si>
  <si>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</si>
  <si>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</si>
  <si>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</si>
  <si>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</si>
  <si>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</si>
  <si>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</si>
  <si>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</si>
  <si>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</si>
  <si>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</si>
  <si>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</si>
  <si>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</si>
  <si>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</si>
  <si>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</si>
  <si>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</si>
  <si>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</si>
  <si>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</si>
  <si>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</si>
  <si>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</si>
  <si>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</si>
  <si>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</si>
  <si>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</si>
  <si>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</si>
  <si>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</si>
  <si>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</si>
  <si>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</si>
  <si>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</si>
  <si>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</si>
  <si>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</si>
  <si>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</si>
  <si>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</si>
  <si>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</si>
  <si>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Replacing AC fuse</t>
  </si>
  <si>
    <t>Replacing DC fuse</t>
  </si>
  <si>
    <t>Replacing ECB-1 module</t>
  </si>
  <si>
    <t>REPLACE THE DRIVE MODULE</t>
  </si>
  <si>
    <t>REPLACE MACHINE ENCODER</t>
  </si>
  <si>
    <t>Replace fan (drive module KM968094Gxx rev 1.0 or older)</t>
  </si>
  <si>
    <t>Replace fan (drive module KM968094Gxx rev 2.0 or newer)</t>
  </si>
  <si>
    <t>Replacing contactor board (CO16)</t>
  </si>
  <si>
    <t>Replacing brake control board (BCK and BCX)</t>
  </si>
  <si>
    <t>Replace braking resistor module (car at topmost floor) .</t>
  </si>
  <si>
    <t>Replace braking resistor module (car below topmost floor)</t>
  </si>
  <si>
    <t>KDL16L replacement kits KM953503R121, -R122 and -R142</t>
  </si>
  <si>
    <t>Replacing the tachometer with encoder</t>
  </si>
  <si>
    <t>Replacing the brake cables</t>
  </si>
  <si>
    <t>KDL16R replacement kit KM968094R102</t>
  </si>
  <si>
    <t>REPLACING THE DRIVE MODULE WITHOUT ENCODER INFORMATION</t>
  </si>
  <si>
    <t>KDL16L replacement kit KM953503R102</t>
  </si>
  <si>
    <t>Replacing tachometer with encoder</t>
  </si>
  <si>
    <t xml:space="preserve"> REPLACING V3F16L DRIVE MODULE WITH KDL16L</t>
  </si>
  <si>
    <t>Replacing contactors in SEP</t>
  </si>
  <si>
    <t>Replacing the Fan of the drive</t>
  </si>
  <si>
    <t>Replacing the Contractor Board(CO16)</t>
  </si>
  <si>
    <t>Replacing the Brake Control Board (BCX07)</t>
  </si>
  <si>
    <t>Replacing the Varistor Board (VRB)</t>
  </si>
  <si>
    <t xml:space="preserve">Replacement kits </t>
  </si>
  <si>
    <t>KM968094R103</t>
  </si>
  <si>
    <t xml:space="preserve">KM50003718G01 </t>
  </si>
  <si>
    <t xml:space="preserve">KM50003718G02 </t>
  </si>
  <si>
    <t>KM50003718G03 and -G04</t>
  </si>
  <si>
    <t>REPLACING V3F16ES DRIVE MODULE WITH KDL16R</t>
  </si>
  <si>
    <t>Replacing the brake cable</t>
  </si>
  <si>
    <t>Replacing LCECAN and LCEGTW boards</t>
  </si>
  <si>
    <t>REPLACE DRIVE MODULE</t>
  </si>
  <si>
    <t>REPLACE INTEGRATED BRAKING RESISTOR MODULE</t>
  </si>
  <si>
    <t>REPLACE FANS</t>
  </si>
  <si>
    <t>REPLACE EXTERNAL BRAKING RESISTOR MODULE (FOR EXAMPLE KONE</t>
  </si>
  <si>
    <t>MONOSPACE</t>
  </si>
  <si>
    <t>Replacing the fan (drive module KM968094Gxx rev 2.0 or later)</t>
  </si>
  <si>
    <t>REPLACING THE CONTACTOR BOARD (CO16)</t>
  </si>
  <si>
    <t>REPLACEMENT OF INTEGRATED BRAKING RESISTOR MODULE</t>
  </si>
  <si>
    <t>REPLACE EXTERNAL BRAKING RESISTOR MODULE</t>
  </si>
  <si>
    <t>PSR</t>
  </si>
  <si>
    <t>Replacement of encoder resolver with Kone absolute encoder</t>
  </si>
  <si>
    <t>Troubleshooting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</si>
  <si>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</si>
  <si>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</si>
  <si>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</si>
  <si>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</si>
  <si>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</si>
  <si>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</si>
  <si>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</si>
  <si>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</si>
  <si>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</si>
  <si>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</si>
  <si>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</si>
  <si>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</si>
  <si>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</si>
  <si>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</si>
  <si>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</si>
  <si>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</si>
  <si>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</si>
  <si>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</si>
  <si>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</si>
  <si>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</si>
  <si>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</si>
  <si>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</si>
  <si>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</si>
  <si>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</si>
  <si>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</si>
  <si>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</si>
  <si>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</si>
  <si>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</si>
  <si>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</si>
  <si>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</si>
  <si>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</si>
  <si>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</si>
  <si>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</si>
  <si>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</si>
  <si>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</si>
  <si>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</si>
  <si>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</si>
  <si>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</si>
  <si>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</si>
  <si>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</si>
  <si>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</si>
  <si>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</si>
  <si>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</si>
  <si>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</si>
  <si>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Replacing brake control board (BCB25)</t>
  </si>
  <si>
    <t>Replacing I/O board of KR6 / KR7 drive module</t>
  </si>
  <si>
    <t>Replacing KDA module</t>
  </si>
  <si>
    <t>Replacing KR6 / KR7 drive module</t>
  </si>
  <si>
    <t>Replacing KR6 / KR7 drive module fan</t>
  </si>
  <si>
    <t>Replace main contactor</t>
  </si>
  <si>
    <t>Replacing main contactor control board (MCCB2)</t>
  </si>
  <si>
    <t>Replacing motion control board (DCBG)</t>
  </si>
  <si>
    <t>Replace AFE-module or INU-module</t>
  </si>
  <si>
    <t>Replace BCXIFB module</t>
  </si>
  <si>
    <t>Replace brake control module BCX14</t>
  </si>
  <si>
    <t>Replace brake control module KDHBCM</t>
  </si>
  <si>
    <t>Replace BUP2 module</t>
  </si>
  <si>
    <t>Replace EMC filter module</t>
  </si>
  <si>
    <t>Replace I/O board in INU-module</t>
  </si>
  <si>
    <t>Replace motion control board DCBG</t>
  </si>
  <si>
    <t>Replace auxiliary main contactors (K201:3, K201:4)</t>
  </si>
  <si>
    <t>Replace brake control board (BCM25)</t>
  </si>
  <si>
    <t>Replace brake control module (BCX08)</t>
  </si>
  <si>
    <t>Replace brake control module (BCX14)</t>
  </si>
  <si>
    <t>Replace brake control module (KDHBCM)</t>
  </si>
  <si>
    <t>Replace braking resistor (optional)</t>
  </si>
  <si>
    <t>Replace I/O board of KR6 / KR7 drive module</t>
  </si>
  <si>
    <t>Replace KDA module</t>
  </si>
  <si>
    <t>Replace KR6 / KR7 drive module</t>
  </si>
  <si>
    <t>Replace KR6 / KR7 drive module fan</t>
  </si>
  <si>
    <t>Replace main contactor control board (MCCB2)</t>
  </si>
  <si>
    <t>Replace motion control board (DCBG)</t>
  </si>
  <si>
    <t>Replace the braking chopper module</t>
  </si>
  <si>
    <t>Replace brake control board (BCB25)</t>
  </si>
  <si>
    <t>Replace KDA module (with BCB25 or BCX14 two piece SEP)</t>
  </si>
  <si>
    <t>Replace KDA module (with BCX08 or BCX14 single SEP)</t>
  </si>
  <si>
    <t>Replace main contactor control board with BCB25 (MCCB2)</t>
  </si>
  <si>
    <t>Replace main contactor control board with BCX08 and BCX14 (MCCB2)</t>
  </si>
  <si>
    <t>Replace main contactor control board with BCX14 (MCCB2)</t>
  </si>
  <si>
    <t>Replace main contactor control board with BCX14 or BCX08 (after 10/2016)(MCCB2)</t>
  </si>
  <si>
    <t>BCM25 to BCX14</t>
  </si>
  <si>
    <t>Repalce braking resistor</t>
  </si>
  <si>
    <t>Replace auxilary contactors</t>
  </si>
  <si>
    <t>Replace chopper module</t>
  </si>
  <si>
    <t>Replace fuses and relays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</si>
  <si>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</si>
  <si>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</si>
  <si>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</si>
  <si>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</si>
  <si>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</si>
  <si>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</si>
  <si>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</si>
  <si>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</si>
  <si>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</si>
  <si>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</si>
  <si>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</si>
  <si>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</si>
  <si>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</si>
  <si>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</si>
  <si>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</si>
  <si>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</si>
  <si>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</si>
  <si>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</si>
  <si>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</si>
  <si>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</si>
  <si>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</si>
  <si>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</si>
  <si>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</si>
  <si>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</si>
  <si>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</si>
  <si>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</si>
  <si>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</si>
  <si>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</si>
  <si>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</si>
  <si>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</si>
  <si>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</si>
  <si>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</si>
  <si>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</si>
  <si>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</si>
  <si>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</si>
  <si>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</si>
  <si>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</si>
  <si>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</si>
  <si>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</si>
  <si>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</si>
  <si>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</si>
  <si>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</si>
  <si>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</si>
  <si>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</si>
  <si>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Repalce fans</t>
  </si>
  <si>
    <t>Replace battery</t>
  </si>
  <si>
    <t>Replace braking chopper</t>
  </si>
  <si>
    <t>V0215</t>
  </si>
  <si>
    <t>V0216</t>
  </si>
  <si>
    <t>V0217</t>
  </si>
  <si>
    <t>V0218</t>
  </si>
  <si>
    <t>Replace Braking resistor</t>
  </si>
  <si>
    <t>Replace Motion control board</t>
  </si>
  <si>
    <t>V0219</t>
  </si>
  <si>
    <t>V0220</t>
  </si>
  <si>
    <t>V0221</t>
  </si>
  <si>
    <t>V0222</t>
  </si>
  <si>
    <t>V0223</t>
  </si>
  <si>
    <t>Replacing breaking resistor</t>
  </si>
  <si>
    <t>REPLACING COMPONENTS OF SS TO V3F MODPACK CONTROLLER</t>
  </si>
  <si>
    <t>Replacing condenser</t>
  </si>
  <si>
    <t>Replacing contactor</t>
  </si>
  <si>
    <t>Replacing EMI filter</t>
  </si>
  <si>
    <t>Replacing LCEOPT board</t>
  </si>
  <si>
    <t>Replacing V3F drive</t>
  </si>
  <si>
    <t>FAN REPLACEMENT</t>
  </si>
  <si>
    <t>Replacing existing drive with K1000H</t>
  </si>
  <si>
    <t>Replacing fans</t>
  </si>
  <si>
    <t>Replacing K1000H with K1000H</t>
  </si>
  <si>
    <t xml:space="preserve">Replacement of Current Measurement RC Set </t>
  </si>
  <si>
    <t>Replacement of DC-Link capacitors</t>
  </si>
  <si>
    <t xml:space="preserve">Replacement of line filter </t>
  </si>
  <si>
    <t>Replacement of power stack</t>
  </si>
  <si>
    <t xml:space="preserve">Replacement of V3F100 VDU board (Types B1,B2,B3) </t>
  </si>
  <si>
    <t>Replacement or cleaning of air filters</t>
  </si>
  <si>
    <t>CHANGING THE CHARGING RESISTORS AND CONNECTING THE WIRE 713949H05</t>
  </si>
  <si>
    <t>CHANGING THE CONTACTOR 201:1 AND THE WIRE 713949H05</t>
  </si>
  <si>
    <t>CHANGING THE IMC-BOARD</t>
  </si>
  <si>
    <t>Replacement of the braking resistor module (KONE MonoSpace , TranSys and EcoSpace)</t>
  </si>
  <si>
    <t>Replacement of the drive module</t>
  </si>
  <si>
    <t>Replacing LCL filter capacitor</t>
  </si>
  <si>
    <t>REPLACEMENT OF BRAKE CONTROL BOARD (BCR)</t>
  </si>
  <si>
    <t>REPLACEMENT OF MAIN CIRCUIT BOARD (MCR)</t>
  </si>
  <si>
    <t>REPLACEMENT OF THE FAN</t>
  </si>
  <si>
    <t xml:space="preserve">Replacement of brake control-, filter- and main contactor modules </t>
  </si>
  <si>
    <t>Replacement of braking resistor module</t>
  </si>
  <si>
    <t xml:space="preserve">Replacement of drive board module </t>
  </si>
  <si>
    <t xml:space="preserve">Replacement of V3F18 complete drive Unit </t>
  </si>
  <si>
    <t xml:space="preserve">Replacement of V3F18 Drive Unit power components </t>
  </si>
  <si>
    <t>Replacement of HCB board</t>
  </si>
  <si>
    <t>REPLACEMENT OF PC-BOARDS (385:A1, 385:A2)</t>
  </si>
  <si>
    <t>REPLACEMENT OF VACON CXI WITH VACON NXI</t>
  </si>
  <si>
    <t>Replacing fan of the line bridge (Vacon CXI)</t>
  </si>
  <si>
    <t>Replacing fan of the line bridge (Vacon NXI)</t>
  </si>
  <si>
    <t>Replacing the line bridge (Vacon CXI and NXI</t>
  </si>
  <si>
    <t>V3F25 MODULE REPLACEMENT</t>
  </si>
  <si>
    <t>V3F25 AND V3F25S UNIT REPLACEMENT</t>
  </si>
  <si>
    <t xml:space="preserve">Replacing LCL filter </t>
  </si>
  <si>
    <t xml:space="preserve">Replacing LCL filter capacitor </t>
  </si>
  <si>
    <t xml:space="preserve">Replacing LCL filter resistor </t>
  </si>
  <si>
    <t>Replace K1000L to KA500 module</t>
  </si>
  <si>
    <t>Replace K1000L to L1000A module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</si>
  <si>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</si>
  <si>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</si>
  <si>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</si>
  <si>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</si>
  <si>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</si>
  <si>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</si>
  <si>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</si>
  <si>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</si>
  <si>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</si>
  <si>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</si>
  <si>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</si>
  <si>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</si>
  <si>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</si>
  <si>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</si>
  <si>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</si>
  <si>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</si>
  <si>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</si>
  <si>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</si>
  <si>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</si>
  <si>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</si>
  <si>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</si>
  <si>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</si>
  <si>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</si>
  <si>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</si>
  <si>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</si>
  <si>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</si>
  <si>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</si>
  <si>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</si>
  <si>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</si>
  <si>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</si>
  <si>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</si>
  <si>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</si>
  <si>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</si>
  <si>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</si>
  <si>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</si>
  <si>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</si>
  <si>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</si>
  <si>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</si>
  <si>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</si>
  <si>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</si>
  <si>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</si>
  <si>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</si>
  <si>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</si>
  <si>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</si>
  <si>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</si>
  <si>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</si>
  <si>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REPLACEMENT OF V3F10CLX DRIVE UNIT</t>
  </si>
  <si>
    <t>Replacing fan of the inverter unit</t>
  </si>
  <si>
    <t>Replacing inverter unit</t>
  </si>
  <si>
    <t>REPLACEMENT ACTIONS WITH ALLEN BRADLEY DRIVE UNIT</t>
  </si>
  <si>
    <t>Replacing Allen-Bradley drive unit</t>
  </si>
  <si>
    <t>Replacing fan of the drive unit</t>
  </si>
  <si>
    <t>INSTALLATION OF REPLACEMENT KIT FOR AKO611 (ACS611) VERSION 2</t>
  </si>
  <si>
    <t>INSTALLATION OF REPLACEMENT KITS FOR AKO 601</t>
  </si>
  <si>
    <t>INSTALLATION OF REPLACEMENT KITS FOR AKO611 VERSION 1</t>
  </si>
  <si>
    <t>Replacing DC-capacitors</t>
  </si>
  <si>
    <t>Replacing fan</t>
  </si>
  <si>
    <t>Replacing printed circuit boards</t>
  </si>
  <si>
    <t>Replacing printed circuit boards (NINT, NGDR)</t>
  </si>
  <si>
    <t>Repaalce brake control module KDHBCM</t>
  </si>
  <si>
    <t>replace automatic circuit breaker</t>
  </si>
  <si>
    <t>REPLACEMENT OF INVERTER BOARD (385:A2)</t>
  </si>
  <si>
    <t>REPLACEMENT OF V3F16R DRIVE MODULE</t>
  </si>
  <si>
    <t>Replacing the HCB board (V3F25)</t>
  </si>
  <si>
    <t>Replacing the SERTRANS ETS SPEED 
SUPERVISION BOARD KM656020G01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</si>
  <si>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</si>
  <si>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</si>
  <si>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</si>
  <si>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</si>
  <si>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</si>
  <si>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</si>
  <si>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</si>
  <si>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</si>
  <si>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</si>
  <si>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</si>
  <si>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</si>
  <si>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</si>
  <si>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</si>
  <si>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</si>
  <si>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</si>
  <si>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</si>
  <si>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</si>
  <si>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</si>
  <si>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</si>
  <si>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module_id</t>
  </si>
  <si>
    <t>module_name</t>
  </si>
  <si>
    <t>model_id</t>
  </si>
  <si>
    <t>model_name</t>
  </si>
  <si>
    <t>variant_id</t>
  </si>
  <si>
    <t>variant_name</t>
  </si>
  <si>
    <t>Replacing the drive module</t>
  </si>
  <si>
    <t>Replacing control module</t>
  </si>
  <si>
    <t>Replacing DC-link capacitor module</t>
  </si>
  <si>
    <t>Replacing power module (MCDM board)</t>
  </si>
  <si>
    <t>Replacing thermistor cable</t>
  </si>
  <si>
    <t>Replacing brake control module</t>
  </si>
  <si>
    <t>Replacing contactor module components</t>
  </si>
  <si>
    <t>Replacing RFI-filter</t>
  </si>
  <si>
    <t>Replacing drive fan</t>
  </si>
  <si>
    <t>Replacing dynamic braking contactor</t>
  </si>
  <si>
    <t>Replacing the braking resistor module</t>
  </si>
  <si>
    <t>REPLACE KDL16L DRIVE MODULE</t>
  </si>
  <si>
    <t>REPLACE MACHINE ENCODER'</t>
  </si>
  <si>
    <t>REPLACE CO16 BOARD</t>
  </si>
  <si>
    <t>REPLACEMENT OF FAN</t>
  </si>
  <si>
    <t>REPLACE BRAKING RESISTOR MODULE</t>
  </si>
  <si>
    <t>REPLACEMENT OF MC16 FUSE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</si>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</sst>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Inter"/>
    </font>
    <font>
      <b/>
      <sz val="11"/>
      <color theme="1"/>
      <name val="Inter"/>
    </font>
    <font>
      <sz val="8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A70FD-CFE5-4C92-BAD5-6C53C37DF691}" name="module" displayName="module" ref="A1:B13" totalsRowShown="0" headerRowDxfId="12" dataDxfId="11">
  <autoFilter ref="A1:B13" xr:uid="{908A70FD-CFE5-4C92-BAD5-6C53C37DF691}">
    <filterColumn colId="0" hiddenButton="1"/>
    <filterColumn colId="1" hiddenButton="1"/>
  </autoFilter>
  <tableColumns count="2">
    <tableColumn id="1" xr3:uid="{2013FF16-1C47-409A-912D-652B06E02EDD}" name="module_id" dataDxfId="10"/>
    <tableColumn id="2" xr3:uid="{C4A4C5F5-25E2-4041-A2E6-84D9D970F4C5}" name="module_name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65D09-FC6F-4878-B75F-F5450E239C55}" name="Models" displayName="Models" ref="A1:C9" totalsRowShown="0" headerRowDxfId="8" dataDxfId="7">
  <autoFilter ref="A1:C9" xr:uid="{B8665D09-FC6F-4878-B75F-F5450E239C55}">
    <filterColumn colId="0" hiddenButton="1"/>
    <filterColumn colId="1" hiddenButton="1"/>
    <filterColumn colId="2" hiddenButton="1"/>
  </autoFilter>
  <tableColumns count="3">
    <tableColumn id="1" xr3:uid="{D3C13568-C4D0-4752-BF42-3C3A5C3396F1}" name="model_id" dataDxfId="6"/>
    <tableColumn id="2" xr3:uid="{B0C6B7A4-2988-491C-9908-41EEF422A31B}" name="model_name" dataDxfId="5"/>
    <tableColumn id="3" xr3:uid="{A9438D5E-C293-4FF2-A9F5-2ACFC30C132E}" name="module_id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84B218-977D-4E35-9582-D6BA02FBA8E9}" name="Variants" displayName="Variants" ref="A1:D306" totalsRowShown="0">
  <autoFilter ref="A1:D306" xr:uid="{5884B218-977D-4E35-9582-D6BA02FBA8E9}">
    <filterColumn colId="0" hiddenButton="1"/>
    <filterColumn colId="1" hiddenButton="1"/>
    <filterColumn colId="2" hiddenButton="1"/>
    <filterColumn colId="3" hiddenButton="1"/>
  </autoFilter>
  <tableColumns count="4">
    <tableColumn id="1" xr3:uid="{86C64A3F-3447-426E-AFF6-397F208C42AD}" name="variant_id"/>
    <tableColumn id="2" xr3:uid="{F92A4837-BA6A-4DFA-8639-699AB774B469}" name="model_id" dataDxfId="3"/>
    <tableColumn id="3" xr3:uid="{AFD780EB-95E3-48F8-B529-C94D75C5100D}" name="variant_name" dataDxfId="2"/>
    <tableColumn id="4" xr3:uid="{A07409B9-0DDD-4AFD-84CA-E88A5732626A}" name="MTE">
      <calculatedColumnFormula>IF(A2=TRUE,C2,0)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ONE">
      <a:dk1>
        <a:srgbClr val="141414"/>
      </a:dk1>
      <a:lt1>
        <a:srgbClr val="FFFFFF"/>
      </a:lt1>
      <a:dk2>
        <a:srgbClr val="1450F5"/>
      </a:dk2>
      <a:lt2>
        <a:srgbClr val="F3EEEA"/>
      </a:lt2>
      <a:accent1>
        <a:srgbClr val="1450F5"/>
      </a:accent1>
      <a:accent2>
        <a:srgbClr val="FFCDD7"/>
      </a:accent2>
      <a:accent3>
        <a:srgbClr val="FFE141"/>
      </a:accent3>
      <a:accent4>
        <a:srgbClr val="AAE1C8"/>
      </a:accent4>
      <a:accent5>
        <a:srgbClr val="D2F5FF"/>
      </a:accent5>
      <a:accent6>
        <a:srgbClr val="A1B9FB"/>
      </a:accent6>
      <a:hlink>
        <a:srgbClr val="1450F5"/>
      </a:hlink>
      <a:folHlink>
        <a:srgbClr val="141414"/>
      </a:folHlink>
    </a:clrScheme>
    <a:fontScheme name="KONE">
      <a:majorFont>
        <a:latin typeface="Inter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FF8-0FBC-4CF8-8A0E-ED53D21E1017}">
  <dimension ref="A1:B13"/>
  <sheetViews>
    <sheetView tabSelected="1" zoomScaleNormal="100" workbookViewId="0">
      <selection activeCell="B4" sqref="B4"/>
    </sheetView>
  </sheetViews>
  <sheetFormatPr defaultRowHeight="13.8" x14ac:dyDescent="0.25"/>
  <cols>
    <col min="1" max="1" width="17.6640625" customWidth="1"/>
    <col min="2" max="2" width="17.08203125" customWidth="1"/>
    <col min="3" max="3" width="17.75" customWidth="1"/>
  </cols>
  <sheetData>
    <row r="1" spans="1:2" x14ac:dyDescent="0.25">
      <c r="A1" s="1" t="s">
        <v>603</v>
      </c>
      <c r="B1" s="1" t="s">
        <v>604</v>
      </c>
    </row>
    <row r="2" spans="1:2" x14ac:dyDescent="0.25">
      <c r="A2" s="2" t="s">
        <v>0</v>
      </c>
      <c r="B2" s="2" t="s">
        <v>1</v>
      </c>
    </row>
    <row r="3" spans="1:2" ht="27.6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</sheetData>
  <pageMargins left="0.51181102362204722" right="0.51181102362204722" top="1.4173228346456694" bottom="1.4173228346456694" header="0.39370078740157483" footer="0.39370078740157483"/>
  <pageSetup paperSize="9" orientation="portrait" r:id="rId1"/>
  <headerFooter>
    <oddHeader>&amp;L&amp;G&amp;R&amp;"arial"&amp;8&amp;K000000 KONE Internal&amp;1#_x000D_&amp;"Inter"&amp;11&amp;K141414&amp;8 Classification: KONE Internal#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F17E-791B-43E6-8AC0-9B6FDCE799DE}">
  <dimension ref="A1:C9"/>
  <sheetViews>
    <sheetView workbookViewId="0">
      <selection activeCell="C4" sqref="C4"/>
    </sheetView>
  </sheetViews>
  <sheetFormatPr defaultRowHeight="13.8" x14ac:dyDescent="0.25"/>
  <cols>
    <col min="2" max="2" width="12.6640625" customWidth="1"/>
    <col min="3" max="3" width="9.5" customWidth="1"/>
  </cols>
  <sheetData>
    <row r="1" spans="1:3" x14ac:dyDescent="0.25">
      <c r="A1" s="1" t="s">
        <v>605</v>
      </c>
      <c r="B1" s="1" t="s">
        <v>606</v>
      </c>
      <c r="C1" s="1" t="s">
        <v>603</v>
      </c>
    </row>
    <row r="2" spans="1:3" x14ac:dyDescent="0.25">
      <c r="A2" s="2" t="s">
        <v>24</v>
      </c>
      <c r="B2" s="2" t="s">
        <v>25</v>
      </c>
      <c r="C2" s="2" t="s">
        <v>8</v>
      </c>
    </row>
    <row r="3" spans="1:3" x14ac:dyDescent="0.25">
      <c r="A3" s="2" t="s">
        <v>26</v>
      </c>
      <c r="B3" s="2" t="s">
        <v>27</v>
      </c>
      <c r="C3" s="2" t="s">
        <v>8</v>
      </c>
    </row>
    <row r="4" spans="1:3" x14ac:dyDescent="0.25">
      <c r="A4" s="2" t="s">
        <v>28</v>
      </c>
      <c r="B4" s="2" t="s">
        <v>29</v>
      </c>
      <c r="C4" s="2" t="s">
        <v>8</v>
      </c>
    </row>
    <row r="5" spans="1:3" x14ac:dyDescent="0.25">
      <c r="A5" s="2" t="s">
        <v>30</v>
      </c>
      <c r="B5" s="2" t="s">
        <v>31</v>
      </c>
      <c r="C5" s="2" t="s">
        <v>8</v>
      </c>
    </row>
    <row r="6" spans="1:3" x14ac:dyDescent="0.25">
      <c r="A6" s="2" t="s">
        <v>32</v>
      </c>
      <c r="B6" s="2" t="s">
        <v>33</v>
      </c>
      <c r="C6" s="2" t="s">
        <v>8</v>
      </c>
    </row>
    <row r="7" spans="1:3" x14ac:dyDescent="0.25">
      <c r="A7" s="2" t="s">
        <v>34</v>
      </c>
      <c r="B7" s="2" t="s">
        <v>35</v>
      </c>
      <c r="C7" s="2" t="s">
        <v>8</v>
      </c>
    </row>
    <row r="8" spans="1:3" x14ac:dyDescent="0.25">
      <c r="A8" s="2" t="s">
        <v>36</v>
      </c>
      <c r="B8" s="2" t="s">
        <v>37</v>
      </c>
      <c r="C8" s="2" t="s">
        <v>8</v>
      </c>
    </row>
    <row r="9" spans="1:3" x14ac:dyDescent="0.25">
      <c r="A9" s="2" t="s">
        <v>38</v>
      </c>
      <c r="B9" s="2" t="s">
        <v>39</v>
      </c>
      <c r="C9" s="2" t="s">
        <v>8</v>
      </c>
    </row>
  </sheetData>
  <pageMargins left="0.7" right="0.7" top="0.75" bottom="0.75" header="0.3" footer="0.3"/>
  <headerFooter>
    <oddHeader>&amp;R&amp;"arial"&amp;8&amp;K000000 KONE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5C04-BBC6-4C8F-AC5C-F8CD917665DD}">
  <dimension ref="A1:D306"/>
  <sheetViews>
    <sheetView topLeftCell="A235" workbookViewId="0">
      <selection activeCell="G41" sqref="G41"/>
    </sheetView>
  </sheetViews>
  <sheetFormatPr defaultRowHeight="13.8" x14ac:dyDescent="0.25"/>
  <cols>
    <col min="1" max="1" width="9.5" customWidth="1"/>
    <col min="3" max="3" width="85.6640625" customWidth="1"/>
  </cols>
  <sheetData>
    <row r="1" spans="1:4" x14ac:dyDescent="0.25">
      <c r="A1" s="1" t="s">
        <v>607</v>
      </c>
      <c r="B1" s="1" t="s">
        <v>605</v>
      </c>
      <c r="C1" s="3" t="s">
        <v>608</v>
      </c>
      <c r="D1" t="s">
        <v>72</v>
      </c>
    </row>
    <row r="2" spans="1:4" x14ac:dyDescent="0.25">
      <c r="A2" t="s">
        <v>162</v>
      </c>
      <c r="B2" s="2" t="s">
        <v>24</v>
      </c>
      <c r="C2" t="s">
        <v>40</v>
      </c>
      <c r="D2">
        <f>IF(B2=TRUE,#REF!,0)</f>
        <v>0</v>
      </c>
    </row>
    <row r="3" spans="1:4" x14ac:dyDescent="0.25">
      <c r="A3" t="s">
        <v>163</v>
      </c>
      <c r="B3" s="2" t="s">
        <v>24</v>
      </c>
      <c r="C3" t="s">
        <v>41</v>
      </c>
      <c r="D3">
        <f>IF(B3=TRUE,#REF!,0)</f>
        <v>0</v>
      </c>
    </row>
    <row r="4" spans="1:4" x14ac:dyDescent="0.25">
      <c r="A4" t="s">
        <v>164</v>
      </c>
      <c r="B4" s="2" t="s">
        <v>24</v>
      </c>
      <c r="C4" t="s">
        <v>42</v>
      </c>
      <c r="D4">
        <f>IF(B4=TRUE,#REF!,0)</f>
        <v>0</v>
      </c>
    </row>
    <row r="5" spans="1:4" x14ac:dyDescent="0.25">
      <c r="A5" t="s">
        <v>165</v>
      </c>
      <c r="B5" s="2" t="s">
        <v>24</v>
      </c>
      <c r="C5" t="s">
        <v>43</v>
      </c>
      <c r="D5">
        <f>IF(B5=TRUE,#REF!,0)</f>
        <v>0</v>
      </c>
    </row>
    <row r="6" spans="1:4" x14ac:dyDescent="0.25">
      <c r="A6" t="s">
        <v>166</v>
      </c>
      <c r="B6" s="2" t="s">
        <v>24</v>
      </c>
      <c r="C6" t="s">
        <v>44</v>
      </c>
      <c r="D6">
        <f>IF(B6=TRUE,#REF!,0)</f>
        <v>0</v>
      </c>
    </row>
    <row r="7" spans="1:4" x14ac:dyDescent="0.25">
      <c r="A7" t="s">
        <v>167</v>
      </c>
      <c r="B7" s="2" t="s">
        <v>24</v>
      </c>
      <c r="C7" t="s">
        <v>45</v>
      </c>
      <c r="D7">
        <f>IF(B7=TRUE,#REF!,0)</f>
        <v>0</v>
      </c>
    </row>
    <row r="8" spans="1:4" x14ac:dyDescent="0.25">
      <c r="A8" t="s">
        <v>168</v>
      </c>
      <c r="B8" s="2" t="s">
        <v>24</v>
      </c>
      <c r="C8" t="s">
        <v>46</v>
      </c>
      <c r="D8">
        <f>IF(B8=TRUE,#REF!,0)</f>
        <v>0</v>
      </c>
    </row>
    <row r="9" spans="1:4" x14ac:dyDescent="0.25">
      <c r="A9" t="s">
        <v>169</v>
      </c>
      <c r="B9" s="2" t="s">
        <v>24</v>
      </c>
      <c r="C9" t="s">
        <v>47</v>
      </c>
      <c r="D9">
        <f>IF(B9=TRUE,#REF!,0)</f>
        <v>0</v>
      </c>
    </row>
    <row r="10" spans="1:4" x14ac:dyDescent="0.25">
      <c r="A10" t="s">
        <v>170</v>
      </c>
      <c r="B10" s="2" t="s">
        <v>24</v>
      </c>
      <c r="C10" t="s">
        <v>48</v>
      </c>
      <c r="D10">
        <f>IF(B10=TRUE,#REF!,0)</f>
        <v>0</v>
      </c>
    </row>
    <row r="11" spans="1:4" x14ac:dyDescent="0.25">
      <c r="A11" t="s">
        <v>171</v>
      </c>
      <c r="B11" s="2" t="s">
        <v>24</v>
      </c>
      <c r="C11" t="s">
        <v>49</v>
      </c>
      <c r="D11">
        <f>IF(B11=TRUE,#REF!,0)</f>
        <v>0</v>
      </c>
    </row>
    <row r="12" spans="1:4" x14ac:dyDescent="0.25">
      <c r="A12" t="s">
        <v>172</v>
      </c>
      <c r="B12" s="2" t="s">
        <v>24</v>
      </c>
      <c r="C12" t="s">
        <v>50</v>
      </c>
      <c r="D12">
        <f>IF(B12=TRUE,#REF!,0)</f>
        <v>0</v>
      </c>
    </row>
    <row r="13" spans="1:4" x14ac:dyDescent="0.25">
      <c r="A13" t="s">
        <v>173</v>
      </c>
      <c r="B13" s="2" t="s">
        <v>24</v>
      </c>
      <c r="C13" t="s">
        <v>51</v>
      </c>
      <c r="D13">
        <f>IF(B13=TRUE,#REF!,0)</f>
        <v>0</v>
      </c>
    </row>
    <row r="14" spans="1:4" x14ac:dyDescent="0.25">
      <c r="A14" t="s">
        <v>174</v>
      </c>
      <c r="B14" s="2" t="s">
        <v>24</v>
      </c>
      <c r="C14" t="s">
        <v>52</v>
      </c>
      <c r="D14">
        <f>IF(B14=TRUE,#REF!,0)</f>
        <v>0</v>
      </c>
    </row>
    <row r="15" spans="1:4" x14ac:dyDescent="0.25">
      <c r="A15" t="s">
        <v>175</v>
      </c>
      <c r="B15" s="2" t="s">
        <v>24</v>
      </c>
      <c r="C15" t="s">
        <v>53</v>
      </c>
      <c r="D15">
        <f>IF(B15=TRUE,#REF!,0)</f>
        <v>0</v>
      </c>
    </row>
    <row r="16" spans="1:4" x14ac:dyDescent="0.25">
      <c r="A16" t="s">
        <v>176</v>
      </c>
      <c r="B16" s="2" t="s">
        <v>24</v>
      </c>
      <c r="C16" t="s">
        <v>54</v>
      </c>
      <c r="D16">
        <f>IF(B16=TRUE,#REF!,0)</f>
        <v>0</v>
      </c>
    </row>
    <row r="17" spans="1:4" x14ac:dyDescent="0.25">
      <c r="A17" t="s">
        <v>177</v>
      </c>
      <c r="B17" s="2" t="s">
        <v>24</v>
      </c>
      <c r="C17" t="s">
        <v>55</v>
      </c>
      <c r="D17">
        <f>IF(B17=TRUE,#REF!,0)</f>
        <v>0</v>
      </c>
    </row>
    <row r="18" spans="1:4" x14ac:dyDescent="0.25">
      <c r="A18" t="s">
        <v>178</v>
      </c>
      <c r="B18" s="2" t="s">
        <v>24</v>
      </c>
      <c r="C18" t="s">
        <v>56</v>
      </c>
      <c r="D18">
        <f>IF(B18=TRUE,#REF!,0)</f>
        <v>0</v>
      </c>
    </row>
    <row r="19" spans="1:4" x14ac:dyDescent="0.25">
      <c r="A19" t="s">
        <v>179</v>
      </c>
      <c r="B19" s="2" t="s">
        <v>24</v>
      </c>
      <c r="C19" t="s">
        <v>57</v>
      </c>
      <c r="D19">
        <f>IF(B19=TRUE,#REF!,0)</f>
        <v>0</v>
      </c>
    </row>
    <row r="20" spans="1:4" x14ac:dyDescent="0.25">
      <c r="A20" t="s">
        <v>180</v>
      </c>
      <c r="B20" s="2" t="s">
        <v>24</v>
      </c>
      <c r="C20" t="s">
        <v>58</v>
      </c>
      <c r="D20">
        <f>IF(B20=TRUE,#REF!,0)</f>
        <v>0</v>
      </c>
    </row>
    <row r="21" spans="1:4" x14ac:dyDescent="0.25">
      <c r="A21" t="s">
        <v>181</v>
      </c>
      <c r="B21" s="2" t="s">
        <v>24</v>
      </c>
      <c r="C21" t="s">
        <v>59</v>
      </c>
      <c r="D21">
        <f>IF(B21=TRUE,#REF!,0)</f>
        <v>0</v>
      </c>
    </row>
    <row r="22" spans="1:4" x14ac:dyDescent="0.25">
      <c r="A22" t="s">
        <v>182</v>
      </c>
      <c r="B22" s="2" t="s">
        <v>24</v>
      </c>
      <c r="C22" t="s">
        <v>60</v>
      </c>
      <c r="D22">
        <f>IF(B22=TRUE,#REF!,0)</f>
        <v>0</v>
      </c>
    </row>
    <row r="23" spans="1:4" x14ac:dyDescent="0.25">
      <c r="A23" t="s">
        <v>183</v>
      </c>
      <c r="B23" s="2" t="s">
        <v>24</v>
      </c>
      <c r="C23" t="s">
        <v>61</v>
      </c>
      <c r="D23">
        <f>IF(B23=TRUE,#REF!,0)</f>
        <v>0</v>
      </c>
    </row>
    <row r="24" spans="1:4" x14ac:dyDescent="0.25">
      <c r="A24" t="s">
        <v>184</v>
      </c>
      <c r="B24" s="2" t="s">
        <v>24</v>
      </c>
      <c r="C24" t="s">
        <v>62</v>
      </c>
      <c r="D24">
        <f>IF(B24=TRUE,#REF!,0)</f>
        <v>0</v>
      </c>
    </row>
    <row r="25" spans="1:4" x14ac:dyDescent="0.25">
      <c r="A25" t="s">
        <v>185</v>
      </c>
      <c r="B25" s="2" t="s">
        <v>24</v>
      </c>
      <c r="C25" t="s">
        <v>63</v>
      </c>
      <c r="D25">
        <f>IF(B25=TRUE,#REF!,0)</f>
        <v>0</v>
      </c>
    </row>
    <row r="26" spans="1:4" x14ac:dyDescent="0.25">
      <c r="A26" t="s">
        <v>186</v>
      </c>
      <c r="B26" s="2" t="s">
        <v>24</v>
      </c>
      <c r="C26" t="s">
        <v>64</v>
      </c>
      <c r="D26">
        <f>IF(B26=TRUE,#REF!,0)</f>
        <v>0</v>
      </c>
    </row>
    <row r="27" spans="1:4" x14ac:dyDescent="0.25">
      <c r="A27" t="s">
        <v>187</v>
      </c>
      <c r="B27" s="2" t="s">
        <v>24</v>
      </c>
      <c r="C27" t="s">
        <v>65</v>
      </c>
      <c r="D27">
        <f>IF(B27=TRUE,#REF!,0)</f>
        <v>0</v>
      </c>
    </row>
    <row r="28" spans="1:4" x14ac:dyDescent="0.25">
      <c r="A28" t="s">
        <v>188</v>
      </c>
      <c r="B28" s="2" t="s">
        <v>24</v>
      </c>
      <c r="C28" t="s">
        <v>66</v>
      </c>
      <c r="D28">
        <f>IF(B28=TRUE,#REF!,0)</f>
        <v>0</v>
      </c>
    </row>
    <row r="29" spans="1:4" x14ac:dyDescent="0.25">
      <c r="A29" t="s">
        <v>189</v>
      </c>
      <c r="B29" s="2" t="s">
        <v>24</v>
      </c>
      <c r="C29" t="s">
        <v>67</v>
      </c>
      <c r="D29">
        <f>IF(B29=TRUE,#REF!,0)</f>
        <v>0</v>
      </c>
    </row>
    <row r="30" spans="1:4" x14ac:dyDescent="0.25">
      <c r="A30" t="s">
        <v>190</v>
      </c>
      <c r="B30" s="2" t="s">
        <v>24</v>
      </c>
      <c r="C30" t="s">
        <v>68</v>
      </c>
      <c r="D30">
        <f>IF(B30=TRUE,#REF!,0)</f>
        <v>0</v>
      </c>
    </row>
    <row r="31" spans="1:4" x14ac:dyDescent="0.25">
      <c r="A31" t="s">
        <v>191</v>
      </c>
      <c r="B31" s="2" t="s">
        <v>24</v>
      </c>
      <c r="C31" t="s">
        <v>69</v>
      </c>
      <c r="D31">
        <f>IF(B31=TRUE,#REF!,0)</f>
        <v>0</v>
      </c>
    </row>
    <row r="32" spans="1:4" x14ac:dyDescent="0.25">
      <c r="A32" t="s">
        <v>192</v>
      </c>
      <c r="B32" s="2" t="s">
        <v>24</v>
      </c>
      <c r="C32" t="s">
        <v>70</v>
      </c>
      <c r="D32">
        <f>IF(B32=TRUE,#REF!,0)</f>
        <v>0</v>
      </c>
    </row>
    <row r="33" spans="1:4" x14ac:dyDescent="0.25">
      <c r="A33" t="s">
        <v>193</v>
      </c>
      <c r="B33" s="2" t="s">
        <v>24</v>
      </c>
      <c r="C33" t="s">
        <v>71</v>
      </c>
      <c r="D33">
        <f>IF(B33=TRUE,#REF!,0)</f>
        <v>0</v>
      </c>
    </row>
    <row r="34" spans="1:4" x14ac:dyDescent="0.25">
      <c r="A34" t="s">
        <v>194</v>
      </c>
      <c r="B34" s="2" t="s">
        <v>26</v>
      </c>
      <c r="C34" t="s">
        <v>73</v>
      </c>
      <c r="D34">
        <f>IF(B34=TRUE,#REF!,0)</f>
        <v>0</v>
      </c>
    </row>
    <row r="35" spans="1:4" x14ac:dyDescent="0.25">
      <c r="A35" t="s">
        <v>195</v>
      </c>
      <c r="B35" s="2" t="s">
        <v>26</v>
      </c>
      <c r="C35" t="s">
        <v>74</v>
      </c>
      <c r="D35">
        <f>IF(B35=TRUE,#REF!,0)</f>
        <v>0</v>
      </c>
    </row>
    <row r="36" spans="1:4" x14ac:dyDescent="0.25">
      <c r="A36" t="s">
        <v>196</v>
      </c>
      <c r="B36" s="2" t="s">
        <v>26</v>
      </c>
      <c r="C36" t="s">
        <v>75</v>
      </c>
      <c r="D36">
        <f>IF(B36=TRUE,#REF!,0)</f>
        <v>0</v>
      </c>
    </row>
    <row r="37" spans="1:4" x14ac:dyDescent="0.25">
      <c r="A37" t="s">
        <v>197</v>
      </c>
      <c r="B37" s="2" t="s">
        <v>26</v>
      </c>
      <c r="C37" t="s">
        <v>76</v>
      </c>
      <c r="D37">
        <f>IF(B37=TRUE,#REF!,0)</f>
        <v>0</v>
      </c>
    </row>
    <row r="38" spans="1:4" x14ac:dyDescent="0.25">
      <c r="A38" t="s">
        <v>198</v>
      </c>
      <c r="B38" s="2" t="s">
        <v>26</v>
      </c>
      <c r="C38" t="s">
        <v>77</v>
      </c>
      <c r="D38" s="2">
        <v>0.97799999999999998</v>
      </c>
    </row>
    <row r="39" spans="1:4" x14ac:dyDescent="0.25">
      <c r="A39" t="s">
        <v>199</v>
      </c>
      <c r="B39" s="2" t="s">
        <v>26</v>
      </c>
      <c r="C39" t="s">
        <v>78</v>
      </c>
      <c r="D39">
        <f>IF(B39=TRUE,#REF!,0)</f>
        <v>0</v>
      </c>
    </row>
    <row r="40" spans="1:4" x14ac:dyDescent="0.25">
      <c r="A40" t="s">
        <v>200</v>
      </c>
      <c r="B40" s="2" t="s">
        <v>26</v>
      </c>
      <c r="C40" t="s">
        <v>79</v>
      </c>
      <c r="D40">
        <f>IF(B40=TRUE,#REF!,0)</f>
        <v>0</v>
      </c>
    </row>
    <row r="41" spans="1:4" x14ac:dyDescent="0.25">
      <c r="A41" t="s">
        <v>201</v>
      </c>
      <c r="B41" s="2" t="s">
        <v>26</v>
      </c>
      <c r="C41" t="s">
        <v>80</v>
      </c>
      <c r="D41">
        <f>IF(B41=TRUE,#REF!,0)</f>
        <v>0</v>
      </c>
    </row>
    <row r="42" spans="1:4" x14ac:dyDescent="0.25">
      <c r="A42" t="s">
        <v>202</v>
      </c>
      <c r="B42" s="2" t="s">
        <v>26</v>
      </c>
      <c r="C42" t="s">
        <v>81</v>
      </c>
      <c r="D42">
        <f>IF(B42=TRUE,#REF!,0)</f>
        <v>0</v>
      </c>
    </row>
    <row r="43" spans="1:4" x14ac:dyDescent="0.25">
      <c r="A43" t="s">
        <v>203</v>
      </c>
      <c r="B43" s="2" t="s">
        <v>26</v>
      </c>
      <c r="C43" t="s">
        <v>82</v>
      </c>
      <c r="D43">
        <f>IF(B43=TRUE,#REF!,0)</f>
        <v>0</v>
      </c>
    </row>
    <row r="44" spans="1:4" x14ac:dyDescent="0.25">
      <c r="A44" t="s">
        <v>204</v>
      </c>
      <c r="B44" s="2" t="s">
        <v>26</v>
      </c>
      <c r="C44" t="s">
        <v>83</v>
      </c>
      <c r="D44">
        <f>IF(B44=TRUE,#REF!,0)</f>
        <v>0</v>
      </c>
    </row>
    <row r="45" spans="1:4" x14ac:dyDescent="0.25">
      <c r="A45" t="s">
        <v>205</v>
      </c>
      <c r="B45" s="2" t="s">
        <v>26</v>
      </c>
      <c r="C45" t="s">
        <v>84</v>
      </c>
      <c r="D45">
        <f>IF(B45=TRUE,#REF!,0)</f>
        <v>0</v>
      </c>
    </row>
    <row r="46" spans="1:4" x14ac:dyDescent="0.25">
      <c r="A46" t="s">
        <v>206</v>
      </c>
      <c r="B46" s="2" t="s">
        <v>26</v>
      </c>
      <c r="C46" t="s">
        <v>85</v>
      </c>
      <c r="D46">
        <f>IF(B46=TRUE,#REF!,0)</f>
        <v>0</v>
      </c>
    </row>
    <row r="47" spans="1:4" x14ac:dyDescent="0.25">
      <c r="A47" t="s">
        <v>207</v>
      </c>
      <c r="B47" s="2" t="s">
        <v>26</v>
      </c>
      <c r="C47" t="s">
        <v>86</v>
      </c>
      <c r="D47">
        <f>IF(B47=TRUE,#REF!,0)</f>
        <v>0</v>
      </c>
    </row>
    <row r="48" spans="1:4" x14ac:dyDescent="0.25">
      <c r="A48" t="s">
        <v>208</v>
      </c>
      <c r="B48" s="2" t="s">
        <v>26</v>
      </c>
      <c r="C48" t="s">
        <v>87</v>
      </c>
      <c r="D48">
        <f>IF(B48=TRUE,#REF!,0)</f>
        <v>0</v>
      </c>
    </row>
    <row r="49" spans="1:4" x14ac:dyDescent="0.25">
      <c r="A49" t="s">
        <v>209</v>
      </c>
      <c r="B49" s="2" t="s">
        <v>26</v>
      </c>
      <c r="C49" t="s">
        <v>88</v>
      </c>
      <c r="D49">
        <f>IF(B49=TRUE,#REF!,0)</f>
        <v>0</v>
      </c>
    </row>
    <row r="50" spans="1:4" x14ac:dyDescent="0.25">
      <c r="A50" t="s">
        <v>210</v>
      </c>
      <c r="B50" s="2" t="s">
        <v>26</v>
      </c>
      <c r="C50" t="s">
        <v>89</v>
      </c>
      <c r="D50">
        <f>IF(B50=TRUE,#REF!,0)</f>
        <v>0</v>
      </c>
    </row>
    <row r="51" spans="1:4" x14ac:dyDescent="0.25">
      <c r="A51" t="s">
        <v>211</v>
      </c>
      <c r="B51" s="2" t="s">
        <v>26</v>
      </c>
      <c r="C51" t="s">
        <v>90</v>
      </c>
      <c r="D51">
        <f>IF(B51=TRUE,#REF!,0)</f>
        <v>0</v>
      </c>
    </row>
    <row r="52" spans="1:4" x14ac:dyDescent="0.25">
      <c r="A52" t="s">
        <v>212</v>
      </c>
      <c r="B52" s="2" t="s">
        <v>26</v>
      </c>
      <c r="C52" t="s">
        <v>91</v>
      </c>
      <c r="D52">
        <f>IF(B52=TRUE,#REF!,0)</f>
        <v>0</v>
      </c>
    </row>
    <row r="53" spans="1:4" x14ac:dyDescent="0.25">
      <c r="A53" t="s">
        <v>213</v>
      </c>
      <c r="B53" s="2" t="s">
        <v>26</v>
      </c>
      <c r="C53" t="s">
        <v>92</v>
      </c>
      <c r="D53">
        <f>IF(B53=TRUE,#REF!,0)</f>
        <v>0</v>
      </c>
    </row>
    <row r="54" spans="1:4" x14ac:dyDescent="0.25">
      <c r="A54" t="s">
        <v>214</v>
      </c>
      <c r="B54" s="2" t="s">
        <v>26</v>
      </c>
      <c r="C54" t="s">
        <v>93</v>
      </c>
      <c r="D54">
        <f>IF(B54=TRUE,#REF!,0)</f>
        <v>0</v>
      </c>
    </row>
    <row r="55" spans="1:4" x14ac:dyDescent="0.25">
      <c r="A55" t="s">
        <v>215</v>
      </c>
      <c r="B55" s="2" t="s">
        <v>26</v>
      </c>
      <c r="C55" t="s">
        <v>94</v>
      </c>
      <c r="D55">
        <f>IF(B55=TRUE,#REF!,0)</f>
        <v>0</v>
      </c>
    </row>
    <row r="56" spans="1:4" x14ac:dyDescent="0.25">
      <c r="A56" t="s">
        <v>216</v>
      </c>
      <c r="B56" s="2" t="s">
        <v>26</v>
      </c>
      <c r="C56" t="s">
        <v>95</v>
      </c>
      <c r="D56">
        <f>IF(B56=TRUE,#REF!,0)</f>
        <v>0</v>
      </c>
    </row>
    <row r="57" spans="1:4" x14ac:dyDescent="0.25">
      <c r="A57" t="s">
        <v>217</v>
      </c>
      <c r="B57" s="2" t="s">
        <v>26</v>
      </c>
      <c r="C57" t="s">
        <v>96</v>
      </c>
      <c r="D57">
        <f>IF(B57=TRUE,#REF!,0)</f>
        <v>0</v>
      </c>
    </row>
    <row r="58" spans="1:4" x14ac:dyDescent="0.25">
      <c r="A58" t="s">
        <v>218</v>
      </c>
      <c r="B58" s="2" t="s">
        <v>26</v>
      </c>
      <c r="C58" t="s">
        <v>97</v>
      </c>
      <c r="D58">
        <f>IF(B58=TRUE,#REF!,0)</f>
        <v>0</v>
      </c>
    </row>
    <row r="59" spans="1:4" x14ac:dyDescent="0.25">
      <c r="A59" t="s">
        <v>219</v>
      </c>
      <c r="B59" s="2" t="s">
        <v>26</v>
      </c>
      <c r="C59" t="s">
        <v>98</v>
      </c>
      <c r="D59">
        <f>IF(B59=TRUE,#REF!,0)</f>
        <v>0</v>
      </c>
    </row>
    <row r="60" spans="1:4" x14ac:dyDescent="0.25">
      <c r="A60" t="s">
        <v>220</v>
      </c>
      <c r="B60" s="2" t="s">
        <v>26</v>
      </c>
      <c r="C60" t="s">
        <v>99</v>
      </c>
      <c r="D60">
        <f>IF(B60=TRUE,#REF!,0)</f>
        <v>0</v>
      </c>
    </row>
    <row r="61" spans="1:4" x14ac:dyDescent="0.25">
      <c r="A61" t="s">
        <v>221</v>
      </c>
      <c r="B61" s="2" t="s">
        <v>26</v>
      </c>
      <c r="C61" t="s">
        <v>100</v>
      </c>
      <c r="D61">
        <f>IF(B61=TRUE,#REF!,0)</f>
        <v>0</v>
      </c>
    </row>
    <row r="62" spans="1:4" x14ac:dyDescent="0.25">
      <c r="A62" t="s">
        <v>222</v>
      </c>
      <c r="B62" s="2" t="s">
        <v>26</v>
      </c>
      <c r="C62" t="s">
        <v>101</v>
      </c>
      <c r="D62">
        <f>IF(B62=TRUE,#REF!,0)</f>
        <v>0</v>
      </c>
    </row>
    <row r="63" spans="1:4" x14ac:dyDescent="0.25">
      <c r="A63" t="s">
        <v>223</v>
      </c>
      <c r="B63" s="2" t="s">
        <v>26</v>
      </c>
      <c r="C63" t="s">
        <v>102</v>
      </c>
      <c r="D63">
        <f>IF(B63=TRUE,#REF!,0)</f>
        <v>0</v>
      </c>
    </row>
    <row r="64" spans="1:4" x14ac:dyDescent="0.25">
      <c r="A64" t="s">
        <v>224</v>
      </c>
      <c r="B64" s="2" t="s">
        <v>26</v>
      </c>
      <c r="C64" t="s">
        <v>103</v>
      </c>
      <c r="D64">
        <f>IF(B64=TRUE,#REF!,0)</f>
        <v>0</v>
      </c>
    </row>
    <row r="65" spans="1:4" x14ac:dyDescent="0.25">
      <c r="A65" t="s">
        <v>225</v>
      </c>
      <c r="B65" s="2" t="s">
        <v>26</v>
      </c>
      <c r="C65" t="s">
        <v>104</v>
      </c>
      <c r="D65">
        <f>IF(B65=TRUE,#REF!,0)</f>
        <v>0</v>
      </c>
    </row>
    <row r="66" spans="1:4" x14ac:dyDescent="0.25">
      <c r="A66" t="s">
        <v>226</v>
      </c>
      <c r="B66" s="2" t="s">
        <v>26</v>
      </c>
      <c r="C66" t="s">
        <v>105</v>
      </c>
      <c r="D66">
        <f>IF(B66=TRUE,#REF!,0)</f>
        <v>0</v>
      </c>
    </row>
    <row r="67" spans="1:4" x14ac:dyDescent="0.25">
      <c r="A67" t="s">
        <v>227</v>
      </c>
      <c r="B67" s="2" t="s">
        <v>26</v>
      </c>
      <c r="C67" t="s">
        <v>106</v>
      </c>
      <c r="D67" s="2">
        <v>0.28399999999999997</v>
      </c>
    </row>
    <row r="68" spans="1:4" x14ac:dyDescent="0.25">
      <c r="A68" t="s">
        <v>228</v>
      </c>
      <c r="B68" s="2" t="s">
        <v>26</v>
      </c>
      <c r="C68" t="s">
        <v>107</v>
      </c>
      <c r="D68" s="2">
        <v>0.50900000000000001</v>
      </c>
    </row>
    <row r="69" spans="1:4" x14ac:dyDescent="0.25">
      <c r="A69" t="s">
        <v>229</v>
      </c>
      <c r="B69" s="2" t="s">
        <v>26</v>
      </c>
      <c r="C69" t="s">
        <v>108</v>
      </c>
      <c r="D69" s="2">
        <v>8.4000000000000005E-2</v>
      </c>
    </row>
    <row r="70" spans="1:4" x14ac:dyDescent="0.25">
      <c r="A70" t="s">
        <v>230</v>
      </c>
      <c r="B70" s="2" t="s">
        <v>26</v>
      </c>
      <c r="C70" t="s">
        <v>109</v>
      </c>
      <c r="D70" s="2">
        <v>8.4000000000000005E-2</v>
      </c>
    </row>
    <row r="71" spans="1:4" x14ac:dyDescent="0.25">
      <c r="A71" t="s">
        <v>231</v>
      </c>
      <c r="B71" s="2" t="s">
        <v>26</v>
      </c>
      <c r="C71" t="s">
        <v>110</v>
      </c>
      <c r="D71">
        <f>IF(B71=TRUE,#REF!,0)</f>
        <v>0</v>
      </c>
    </row>
    <row r="72" spans="1:4" x14ac:dyDescent="0.25">
      <c r="A72" t="s">
        <v>232</v>
      </c>
      <c r="B72" s="2" t="s">
        <v>26</v>
      </c>
      <c r="C72" t="s">
        <v>111</v>
      </c>
      <c r="D72">
        <f>IF(B72=TRUE,#REF!,0)</f>
        <v>0</v>
      </c>
    </row>
    <row r="73" spans="1:4" x14ac:dyDescent="0.25">
      <c r="A73" t="s">
        <v>233</v>
      </c>
      <c r="B73" s="2" t="s">
        <v>26</v>
      </c>
      <c r="C73" t="s">
        <v>112</v>
      </c>
      <c r="D73">
        <f>IF(B73=TRUE,#REF!,0)</f>
        <v>0</v>
      </c>
    </row>
    <row r="74" spans="1:4" x14ac:dyDescent="0.25">
      <c r="A74" t="s">
        <v>234</v>
      </c>
      <c r="B74" s="2" t="s">
        <v>26</v>
      </c>
      <c r="C74" t="s">
        <v>113</v>
      </c>
      <c r="D74">
        <f>IF(B74=TRUE,#REF!,0)</f>
        <v>0</v>
      </c>
    </row>
    <row r="75" spans="1:4" x14ac:dyDescent="0.25">
      <c r="A75" t="s">
        <v>235</v>
      </c>
      <c r="B75" s="2" t="s">
        <v>26</v>
      </c>
      <c r="C75" t="s">
        <v>114</v>
      </c>
      <c r="D75">
        <f>IF(B75=TRUE,#REF!,0)</f>
        <v>0</v>
      </c>
    </row>
    <row r="76" spans="1:4" x14ac:dyDescent="0.25">
      <c r="A76" t="s">
        <v>236</v>
      </c>
      <c r="B76" s="2" t="s">
        <v>26</v>
      </c>
      <c r="C76" t="s">
        <v>115</v>
      </c>
      <c r="D76">
        <f>IF(B76=TRUE,#REF!,0)</f>
        <v>0</v>
      </c>
    </row>
    <row r="77" spans="1:4" x14ac:dyDescent="0.25">
      <c r="A77" t="s">
        <v>237</v>
      </c>
      <c r="B77" s="2" t="s">
        <v>26</v>
      </c>
      <c r="C77" t="s">
        <v>116</v>
      </c>
      <c r="D77">
        <f>IF(B77=TRUE,#REF!,0)</f>
        <v>0</v>
      </c>
    </row>
    <row r="78" spans="1:4" x14ac:dyDescent="0.25">
      <c r="A78" t="s">
        <v>238</v>
      </c>
      <c r="B78" s="2" t="s">
        <v>26</v>
      </c>
      <c r="C78" t="str">
        <f>_xlfn.CONCAT("LCL-",PROPER("FILTER REPLACEMENT"))</f>
        <v>LCL-Filter Replacement</v>
      </c>
      <c r="D78">
        <f>IF(B78=TRUE,#REF!,0)</f>
        <v>0</v>
      </c>
    </row>
    <row r="79" spans="1:4" x14ac:dyDescent="0.25">
      <c r="A79" t="s">
        <v>239</v>
      </c>
      <c r="B79" s="2" t="s">
        <v>26</v>
      </c>
      <c r="C79" t="str">
        <f>PROPER("LINE BRIDGE REPLACEMENT")</f>
        <v>Line Bridge Replacement</v>
      </c>
      <c r="D79">
        <f>IF(B79=TRUE,#REF!,0)</f>
        <v>0</v>
      </c>
    </row>
    <row r="80" spans="1:4" x14ac:dyDescent="0.25">
      <c r="A80" t="s">
        <v>240</v>
      </c>
      <c r="B80" s="2" t="s">
        <v>26</v>
      </c>
      <c r="C80" t="str">
        <f>PROPER("MOTOR BRIDGE REPLACEMENT")</f>
        <v>Motor Bridge Replacement</v>
      </c>
      <c r="D80">
        <f>IF(B80=TRUE,#REF!,0)</f>
        <v>0</v>
      </c>
    </row>
    <row r="81" spans="1:4" x14ac:dyDescent="0.25">
      <c r="A81" t="s">
        <v>241</v>
      </c>
      <c r="B81" s="2" t="s">
        <v>26</v>
      </c>
      <c r="C81" t="s">
        <v>117</v>
      </c>
      <c r="D81">
        <f>IF(B81=TRUE,#REF!,0)</f>
        <v>0</v>
      </c>
    </row>
    <row r="82" spans="1:4" x14ac:dyDescent="0.25">
      <c r="A82" t="s">
        <v>242</v>
      </c>
      <c r="B82" s="2" t="s">
        <v>26</v>
      </c>
      <c r="C82" t="s">
        <v>118</v>
      </c>
      <c r="D82">
        <f>IF(B82=TRUE,#REF!,0)</f>
        <v>0</v>
      </c>
    </row>
    <row r="83" spans="1:4" x14ac:dyDescent="0.25">
      <c r="A83" t="s">
        <v>243</v>
      </c>
      <c r="B83" s="2" t="s">
        <v>26</v>
      </c>
      <c r="C83" t="s">
        <v>119</v>
      </c>
      <c r="D83">
        <f>IF(B83=TRUE,#REF!,0)</f>
        <v>0</v>
      </c>
    </row>
    <row r="84" spans="1:4" x14ac:dyDescent="0.25">
      <c r="A84" t="s">
        <v>244</v>
      </c>
      <c r="B84" s="2" t="s">
        <v>26</v>
      </c>
      <c r="C84" t="s">
        <v>120</v>
      </c>
      <c r="D84">
        <f>IF(B84=TRUE,#REF!,0)</f>
        <v>0</v>
      </c>
    </row>
    <row r="85" spans="1:4" x14ac:dyDescent="0.25">
      <c r="A85" t="s">
        <v>245</v>
      </c>
      <c r="B85" s="2" t="s">
        <v>26</v>
      </c>
      <c r="C85" t="s">
        <v>121</v>
      </c>
      <c r="D85">
        <f>IF(B85=TRUE,#REF!,0)</f>
        <v>0</v>
      </c>
    </row>
    <row r="86" spans="1:4" x14ac:dyDescent="0.25">
      <c r="A86" t="s">
        <v>246</v>
      </c>
      <c r="B86" s="2" t="s">
        <v>26</v>
      </c>
      <c r="C86" t="s">
        <v>122</v>
      </c>
      <c r="D86">
        <f>IF(B86=TRUE,#REF!,0)</f>
        <v>0</v>
      </c>
    </row>
    <row r="87" spans="1:4" x14ac:dyDescent="0.25">
      <c r="A87" t="s">
        <v>247</v>
      </c>
      <c r="B87" s="2" t="s">
        <v>26</v>
      </c>
      <c r="C87" t="str">
        <f>PROPER("CONTROL TRANSFORMER T10 REPLACEMENT")</f>
        <v>Control Transformer T10 Replacement</v>
      </c>
      <c r="D87">
        <f>IF(B87=TRUE,#REF!,0)</f>
        <v>0</v>
      </c>
    </row>
    <row r="88" spans="1:4" x14ac:dyDescent="0.25">
      <c r="A88" t="s">
        <v>248</v>
      </c>
      <c r="B88" s="2" t="s">
        <v>26</v>
      </c>
      <c r="C88" t="str">
        <f>PROPER("CONTROL TRANSFORMER T20 REPLACEMENT")</f>
        <v>Control Transformer T20 Replacement</v>
      </c>
      <c r="D88">
        <f>IF(B88=TRUE,#REF!,0)</f>
        <v>0</v>
      </c>
    </row>
    <row r="89" spans="1:4" x14ac:dyDescent="0.25">
      <c r="A89" t="s">
        <v>249</v>
      </c>
      <c r="B89" s="2" t="s">
        <v>26</v>
      </c>
      <c r="C89" t="s">
        <v>123</v>
      </c>
      <c r="D89">
        <f>IF(B89=TRUE,#REF!,0)</f>
        <v>0</v>
      </c>
    </row>
    <row r="90" spans="1:4" x14ac:dyDescent="0.25">
      <c r="A90" t="s">
        <v>250</v>
      </c>
      <c r="B90" s="2" t="s">
        <v>26</v>
      </c>
      <c r="C90" t="s">
        <v>124</v>
      </c>
      <c r="D90">
        <f>IF(B90=TRUE,#REF!,0)</f>
        <v>0</v>
      </c>
    </row>
    <row r="91" spans="1:4" x14ac:dyDescent="0.25">
      <c r="A91" t="s">
        <v>251</v>
      </c>
      <c r="B91" s="2" t="s">
        <v>26</v>
      </c>
      <c r="C91" t="s">
        <v>125</v>
      </c>
      <c r="D91">
        <f>IF(B91=TRUE,#REF!,0)</f>
        <v>0</v>
      </c>
    </row>
    <row r="92" spans="1:4" x14ac:dyDescent="0.25">
      <c r="A92" t="s">
        <v>252</v>
      </c>
      <c r="B92" s="2" t="s">
        <v>26</v>
      </c>
      <c r="C92" t="s">
        <v>126</v>
      </c>
      <c r="D92">
        <f>IF(B92=TRUE,#REF!,0)</f>
        <v>0</v>
      </c>
    </row>
    <row r="93" spans="1:4" x14ac:dyDescent="0.25">
      <c r="A93" t="s">
        <v>253</v>
      </c>
      <c r="B93" s="2" t="s">
        <v>26</v>
      </c>
      <c r="C93" t="s">
        <v>127</v>
      </c>
      <c r="D93">
        <f>IF(B93=TRUE,#REF!,0)</f>
        <v>0</v>
      </c>
    </row>
    <row r="94" spans="1:4" x14ac:dyDescent="0.25">
      <c r="A94" t="s">
        <v>254</v>
      </c>
      <c r="B94" s="2" t="s">
        <v>26</v>
      </c>
      <c r="C94" t="s">
        <v>128</v>
      </c>
      <c r="D94">
        <f>IF(B94=TRUE,#REF!,0)</f>
        <v>0</v>
      </c>
    </row>
    <row r="95" spans="1:4" x14ac:dyDescent="0.25">
      <c r="A95" t="s">
        <v>255</v>
      </c>
      <c r="B95" s="2" t="s">
        <v>26</v>
      </c>
      <c r="C95" t="s">
        <v>129</v>
      </c>
      <c r="D95">
        <f>IF(B95=TRUE,#REF!,0)</f>
        <v>0</v>
      </c>
    </row>
    <row r="96" spans="1:4" x14ac:dyDescent="0.25">
      <c r="A96" t="s">
        <v>256</v>
      </c>
      <c r="B96" s="2" t="s">
        <v>26</v>
      </c>
      <c r="C96" t="s">
        <v>130</v>
      </c>
      <c r="D96">
        <v>0.58399999999999996</v>
      </c>
    </row>
    <row r="97" spans="1:4" x14ac:dyDescent="0.25">
      <c r="A97" t="s">
        <v>257</v>
      </c>
      <c r="B97" s="2" t="s">
        <v>26</v>
      </c>
      <c r="C97" t="s">
        <v>131</v>
      </c>
      <c r="D97">
        <f>IF(B97=TRUE,#REF!,0)</f>
        <v>0</v>
      </c>
    </row>
    <row r="98" spans="1:4" x14ac:dyDescent="0.25">
      <c r="A98" t="s">
        <v>258</v>
      </c>
      <c r="B98" s="2" t="s">
        <v>26</v>
      </c>
      <c r="C98" t="s">
        <v>132</v>
      </c>
      <c r="D98">
        <f>IF(B98=TRUE,#REF!,0)</f>
        <v>0</v>
      </c>
    </row>
    <row r="99" spans="1:4" x14ac:dyDescent="0.25">
      <c r="A99" t="s">
        <v>259</v>
      </c>
      <c r="B99" s="2" t="s">
        <v>26</v>
      </c>
      <c r="C99" t="s">
        <v>133</v>
      </c>
      <c r="D99">
        <f>IF(B99=TRUE,#REF!,0)</f>
        <v>0</v>
      </c>
    </row>
    <row r="100" spans="1:4" x14ac:dyDescent="0.25">
      <c r="A100" t="s">
        <v>260</v>
      </c>
      <c r="B100" s="2" t="s">
        <v>26</v>
      </c>
      <c r="C100" t="s">
        <v>134</v>
      </c>
      <c r="D100">
        <f>IF(B100=TRUE,#REF!,0)</f>
        <v>0</v>
      </c>
    </row>
    <row r="101" spans="1:4" x14ac:dyDescent="0.25">
      <c r="A101" t="s">
        <v>261</v>
      </c>
      <c r="B101" s="2" t="s">
        <v>26</v>
      </c>
      <c r="C101" t="s">
        <v>135</v>
      </c>
      <c r="D101">
        <f>IF(B101=TRUE,#REF!,0)</f>
        <v>0</v>
      </c>
    </row>
    <row r="102" spans="1:4" x14ac:dyDescent="0.25">
      <c r="A102" t="s">
        <v>262</v>
      </c>
      <c r="B102" s="2" t="s">
        <v>26</v>
      </c>
      <c r="C102" t="s">
        <v>136</v>
      </c>
      <c r="D102">
        <f>IF(B102=TRUE,#REF!,0)</f>
        <v>0</v>
      </c>
    </row>
    <row r="103" spans="1:4" x14ac:dyDescent="0.25">
      <c r="A103" t="s">
        <v>263</v>
      </c>
      <c r="B103" s="2" t="s">
        <v>26</v>
      </c>
      <c r="C103" t="s">
        <v>137</v>
      </c>
      <c r="D103">
        <f>IF(B103=TRUE,#REF!,0)</f>
        <v>0</v>
      </c>
    </row>
    <row r="104" spans="1:4" x14ac:dyDescent="0.25">
      <c r="A104" t="s">
        <v>264</v>
      </c>
      <c r="B104" s="2" t="s">
        <v>26</v>
      </c>
      <c r="C104" t="s">
        <v>138</v>
      </c>
      <c r="D104">
        <f>IF(B104=TRUE,#REF!,0)</f>
        <v>0</v>
      </c>
    </row>
    <row r="105" spans="1:4" x14ac:dyDescent="0.25">
      <c r="A105" t="s">
        <v>265</v>
      </c>
      <c r="B105" s="2" t="s">
        <v>26</v>
      </c>
      <c r="C105" t="s">
        <v>139</v>
      </c>
      <c r="D105">
        <f>IF(B105=TRUE,#REF!,0)</f>
        <v>0</v>
      </c>
    </row>
    <row r="106" spans="1:4" x14ac:dyDescent="0.25">
      <c r="A106" t="s">
        <v>266</v>
      </c>
      <c r="B106" s="2" t="s">
        <v>26</v>
      </c>
      <c r="C106" t="s">
        <v>140</v>
      </c>
      <c r="D106">
        <f>IF(B106=TRUE,#REF!,0)</f>
        <v>0</v>
      </c>
    </row>
    <row r="107" spans="1:4" x14ac:dyDescent="0.25">
      <c r="A107" t="s">
        <v>267</v>
      </c>
      <c r="B107" s="2" t="s">
        <v>26</v>
      </c>
      <c r="C107" t="s">
        <v>141</v>
      </c>
      <c r="D107">
        <f>IF(B107=TRUE,#REF!,0)</f>
        <v>0</v>
      </c>
    </row>
    <row r="108" spans="1:4" x14ac:dyDescent="0.25">
      <c r="A108" t="s">
        <v>268</v>
      </c>
      <c r="B108" s="2" t="s">
        <v>26</v>
      </c>
      <c r="C108" t="s">
        <v>142</v>
      </c>
      <c r="D108">
        <f>IF(B108=TRUE,#REF!,0)</f>
        <v>0</v>
      </c>
    </row>
    <row r="109" spans="1:4" x14ac:dyDescent="0.25">
      <c r="A109" t="s">
        <v>269</v>
      </c>
      <c r="B109" s="2" t="s">
        <v>26</v>
      </c>
      <c r="C109" t="s">
        <v>143</v>
      </c>
      <c r="D109">
        <f>IF(B109=TRUE,#REF!,0)</f>
        <v>0</v>
      </c>
    </row>
    <row r="110" spans="1:4" x14ac:dyDescent="0.25">
      <c r="A110" t="s">
        <v>270</v>
      </c>
      <c r="B110" s="2" t="s">
        <v>26</v>
      </c>
      <c r="C110" t="s">
        <v>144</v>
      </c>
      <c r="D110">
        <f>IF(B110=TRUE,#REF!,0)</f>
        <v>0</v>
      </c>
    </row>
    <row r="111" spans="1:4" x14ac:dyDescent="0.25">
      <c r="A111" t="s">
        <v>271</v>
      </c>
      <c r="B111" s="2" t="s">
        <v>26</v>
      </c>
      <c r="C111" t="s">
        <v>145</v>
      </c>
      <c r="D111">
        <f>IF(B111=TRUE,#REF!,0)</f>
        <v>0</v>
      </c>
    </row>
    <row r="112" spans="1:4" x14ac:dyDescent="0.25">
      <c r="A112" t="s">
        <v>272</v>
      </c>
      <c r="B112" s="2" t="s">
        <v>26</v>
      </c>
      <c r="C112" t="s">
        <v>146</v>
      </c>
      <c r="D112">
        <f>IF(B112=TRUE,#REF!,0)</f>
        <v>0</v>
      </c>
    </row>
    <row r="113" spans="1:4" x14ac:dyDescent="0.25">
      <c r="A113" t="s">
        <v>273</v>
      </c>
      <c r="B113" s="2" t="s">
        <v>26</v>
      </c>
      <c r="C113" t="s">
        <v>147</v>
      </c>
      <c r="D113">
        <f>IF(B113=TRUE,#REF!,0)</f>
        <v>0</v>
      </c>
    </row>
    <row r="114" spans="1:4" x14ac:dyDescent="0.25">
      <c r="A114" t="s">
        <v>274</v>
      </c>
      <c r="B114" s="2" t="s">
        <v>26</v>
      </c>
      <c r="C114" t="s">
        <v>148</v>
      </c>
      <c r="D114">
        <f>IF(B114=TRUE,#REF!,0)</f>
        <v>0</v>
      </c>
    </row>
    <row r="115" spans="1:4" x14ac:dyDescent="0.25">
      <c r="A115" t="s">
        <v>275</v>
      </c>
      <c r="B115" s="2" t="s">
        <v>26</v>
      </c>
      <c r="C115" t="s">
        <v>149</v>
      </c>
      <c r="D115">
        <f>IF(B115=TRUE,#REF!,0)</f>
        <v>0</v>
      </c>
    </row>
    <row r="116" spans="1:4" x14ac:dyDescent="0.25">
      <c r="A116" t="s">
        <v>276</v>
      </c>
      <c r="B116" s="2" t="s">
        <v>26</v>
      </c>
      <c r="C116" t="s">
        <v>150</v>
      </c>
      <c r="D116">
        <f>IF(B116=TRUE,#REF!,0)</f>
        <v>0</v>
      </c>
    </row>
    <row r="117" spans="1:4" x14ac:dyDescent="0.25">
      <c r="A117" t="s">
        <v>277</v>
      </c>
      <c r="B117" s="2" t="s">
        <v>26</v>
      </c>
      <c r="C117" t="s">
        <v>151</v>
      </c>
      <c r="D117">
        <f>IF(B117=TRUE,#REF!,0)</f>
        <v>0</v>
      </c>
    </row>
    <row r="118" spans="1:4" x14ac:dyDescent="0.25">
      <c r="A118" t="s">
        <v>278</v>
      </c>
      <c r="B118" s="2" t="s">
        <v>26</v>
      </c>
      <c r="C118" t="s">
        <v>152</v>
      </c>
      <c r="D118">
        <f>IF(B118=TRUE,#REF!,0)</f>
        <v>0</v>
      </c>
    </row>
    <row r="119" spans="1:4" x14ac:dyDescent="0.25">
      <c r="A119" t="s">
        <v>279</v>
      </c>
      <c r="B119" s="2" t="s">
        <v>26</v>
      </c>
      <c r="C119" t="s">
        <v>153</v>
      </c>
      <c r="D119">
        <f>IF(B119=TRUE,#REF!,0)</f>
        <v>0</v>
      </c>
    </row>
    <row r="120" spans="1:4" x14ac:dyDescent="0.25">
      <c r="A120" t="s">
        <v>280</v>
      </c>
      <c r="B120" s="2" t="s">
        <v>26</v>
      </c>
      <c r="C120" t="s">
        <v>154</v>
      </c>
      <c r="D120">
        <f>IF(B120=TRUE,#REF!,0)</f>
        <v>0</v>
      </c>
    </row>
    <row r="121" spans="1:4" x14ac:dyDescent="0.25">
      <c r="A121" t="s">
        <v>281</v>
      </c>
      <c r="B121" s="2" t="s">
        <v>26</v>
      </c>
      <c r="C121" t="s">
        <v>155</v>
      </c>
      <c r="D121">
        <f>IF(B121=TRUE,#REF!,0)</f>
        <v>0</v>
      </c>
    </row>
    <row r="122" spans="1:4" x14ac:dyDescent="0.25">
      <c r="A122" t="s">
        <v>282</v>
      </c>
      <c r="B122" s="2" t="s">
        <v>26</v>
      </c>
      <c r="C122" t="s">
        <v>156</v>
      </c>
      <c r="D122">
        <f>IF(B122=TRUE,#REF!,0)</f>
        <v>0</v>
      </c>
    </row>
    <row r="123" spans="1:4" x14ac:dyDescent="0.25">
      <c r="A123" t="s">
        <v>283</v>
      </c>
      <c r="B123" s="2" t="s">
        <v>26</v>
      </c>
      <c r="C123" t="s">
        <v>157</v>
      </c>
      <c r="D123">
        <f>IF(B123=TRUE,#REF!,0)</f>
        <v>0</v>
      </c>
    </row>
    <row r="124" spans="1:4" x14ac:dyDescent="0.25">
      <c r="A124" t="s">
        <v>284</v>
      </c>
      <c r="B124" s="2" t="s">
        <v>26</v>
      </c>
      <c r="C124" t="s">
        <v>158</v>
      </c>
      <c r="D124">
        <f>IF(B124=TRUE,#REF!,0)</f>
        <v>0</v>
      </c>
    </row>
    <row r="125" spans="1:4" x14ac:dyDescent="0.25">
      <c r="A125" t="s">
        <v>285</v>
      </c>
      <c r="B125" s="2" t="s">
        <v>26</v>
      </c>
      <c r="C125" t="s">
        <v>159</v>
      </c>
      <c r="D125" s="2">
        <v>6.0999999999999999E-2</v>
      </c>
    </row>
    <row r="126" spans="1:4" x14ac:dyDescent="0.25">
      <c r="A126" t="s">
        <v>286</v>
      </c>
      <c r="B126" s="2" t="s">
        <v>26</v>
      </c>
      <c r="C126" t="s">
        <v>160</v>
      </c>
      <c r="D126" s="2">
        <v>0</v>
      </c>
    </row>
    <row r="127" spans="1:4" x14ac:dyDescent="0.25">
      <c r="A127" t="s">
        <v>287</v>
      </c>
      <c r="B127" s="2" t="s">
        <v>26</v>
      </c>
      <c r="C127" t="s">
        <v>161</v>
      </c>
      <c r="D127" s="2">
        <v>0</v>
      </c>
    </row>
    <row r="128" spans="1:4" x14ac:dyDescent="0.25">
      <c r="A128" s="2" t="s">
        <v>332</v>
      </c>
      <c r="B128" s="2" t="s">
        <v>28</v>
      </c>
      <c r="C128" t="s">
        <v>609</v>
      </c>
      <c r="D128" s="2">
        <v>0</v>
      </c>
    </row>
    <row r="129" spans="1:4" x14ac:dyDescent="0.25">
      <c r="A129" s="2" t="s">
        <v>333</v>
      </c>
      <c r="B129" s="2" t="s">
        <v>28</v>
      </c>
      <c r="C129" t="s">
        <v>610</v>
      </c>
      <c r="D129" s="2">
        <v>0</v>
      </c>
    </row>
    <row r="130" spans="1:4" x14ac:dyDescent="0.25">
      <c r="A130" s="2" t="s">
        <v>334</v>
      </c>
      <c r="B130" s="2" t="s">
        <v>28</v>
      </c>
      <c r="C130" t="s">
        <v>611</v>
      </c>
      <c r="D130" s="2">
        <v>0</v>
      </c>
    </row>
    <row r="131" spans="1:4" x14ac:dyDescent="0.25">
      <c r="A131" s="2" t="s">
        <v>335</v>
      </c>
      <c r="B131" s="2" t="s">
        <v>28</v>
      </c>
      <c r="C131" t="s">
        <v>612</v>
      </c>
      <c r="D131" s="2">
        <v>0</v>
      </c>
    </row>
    <row r="132" spans="1:4" x14ac:dyDescent="0.25">
      <c r="A132" s="2" t="s">
        <v>336</v>
      </c>
      <c r="B132" s="2" t="s">
        <v>28</v>
      </c>
      <c r="C132" t="s">
        <v>613</v>
      </c>
      <c r="D132" s="2">
        <v>0</v>
      </c>
    </row>
    <row r="133" spans="1:4" x14ac:dyDescent="0.25">
      <c r="A133" s="2" t="s">
        <v>337</v>
      </c>
      <c r="B133" s="2" t="s">
        <v>28</v>
      </c>
      <c r="C133" t="s">
        <v>614</v>
      </c>
      <c r="D133" s="2">
        <v>0</v>
      </c>
    </row>
    <row r="134" spans="1:4" x14ac:dyDescent="0.25">
      <c r="A134" s="2" t="s">
        <v>338</v>
      </c>
      <c r="B134" s="2" t="s">
        <v>28</v>
      </c>
      <c r="C134" t="s">
        <v>615</v>
      </c>
      <c r="D134" s="2">
        <v>0</v>
      </c>
    </row>
    <row r="135" spans="1:4" x14ac:dyDescent="0.25">
      <c r="A135" s="2" t="s">
        <v>339</v>
      </c>
      <c r="B135" s="2" t="s">
        <v>28</v>
      </c>
      <c r="C135" t="s">
        <v>616</v>
      </c>
      <c r="D135" s="2">
        <v>0</v>
      </c>
    </row>
    <row r="136" spans="1:4" x14ac:dyDescent="0.25">
      <c r="A136" s="2" t="s">
        <v>340</v>
      </c>
      <c r="B136" s="2" t="s">
        <v>28</v>
      </c>
      <c r="C136" t="s">
        <v>617</v>
      </c>
      <c r="D136" s="2">
        <v>0</v>
      </c>
    </row>
    <row r="137" spans="1:4" x14ac:dyDescent="0.25">
      <c r="A137" s="2" t="s">
        <v>341</v>
      </c>
      <c r="B137" s="2" t="s">
        <v>28</v>
      </c>
      <c r="C137" t="s">
        <v>618</v>
      </c>
      <c r="D137" s="2">
        <v>0</v>
      </c>
    </row>
    <row r="138" spans="1:4" x14ac:dyDescent="0.25">
      <c r="A138" s="2" t="s">
        <v>342</v>
      </c>
      <c r="B138" s="2" t="s">
        <v>28</v>
      </c>
      <c r="C138" t="s">
        <v>619</v>
      </c>
      <c r="D138" s="2">
        <v>0</v>
      </c>
    </row>
    <row r="139" spans="1:4" x14ac:dyDescent="0.25">
      <c r="A139" s="2" t="s">
        <v>343</v>
      </c>
      <c r="B139" s="2" t="s">
        <v>28</v>
      </c>
      <c r="C139" t="s">
        <v>620</v>
      </c>
      <c r="D139" s="2">
        <v>0.44500000000000001</v>
      </c>
    </row>
    <row r="140" spans="1:4" x14ac:dyDescent="0.25">
      <c r="A140" s="2" t="s">
        <v>344</v>
      </c>
      <c r="B140" s="2" t="s">
        <v>28</v>
      </c>
      <c r="C140" t="s">
        <v>621</v>
      </c>
      <c r="D140" s="2">
        <v>0</v>
      </c>
    </row>
    <row r="141" spans="1:4" x14ac:dyDescent="0.25">
      <c r="A141" s="2" t="s">
        <v>345</v>
      </c>
      <c r="B141" s="2" t="s">
        <v>28</v>
      </c>
      <c r="C141" t="s">
        <v>622</v>
      </c>
      <c r="D141" s="2">
        <v>0</v>
      </c>
    </row>
    <row r="142" spans="1:4" x14ac:dyDescent="0.25">
      <c r="A142" s="2" t="s">
        <v>346</v>
      </c>
      <c r="B142" s="2" t="s">
        <v>28</v>
      </c>
      <c r="C142" t="s">
        <v>623</v>
      </c>
      <c r="D142" s="2">
        <v>0</v>
      </c>
    </row>
    <row r="143" spans="1:4" x14ac:dyDescent="0.25">
      <c r="A143" s="2" t="s">
        <v>347</v>
      </c>
      <c r="B143" s="2" t="s">
        <v>28</v>
      </c>
      <c r="C143" t="s">
        <v>624</v>
      </c>
      <c r="D143" s="2">
        <v>0</v>
      </c>
    </row>
    <row r="144" spans="1:4" x14ac:dyDescent="0.25">
      <c r="A144" s="2" t="s">
        <v>348</v>
      </c>
      <c r="B144" s="2" t="s">
        <v>28</v>
      </c>
      <c r="C144" t="s">
        <v>625</v>
      </c>
      <c r="D144" s="2">
        <v>0</v>
      </c>
    </row>
    <row r="145" spans="1:4" x14ac:dyDescent="0.25">
      <c r="A145" s="2" t="s">
        <v>349</v>
      </c>
      <c r="B145" s="2" t="s">
        <v>28</v>
      </c>
      <c r="C145" s="4" t="s">
        <v>288</v>
      </c>
      <c r="D145" s="2">
        <v>0.50900000000000001</v>
      </c>
    </row>
    <row r="146" spans="1:4" x14ac:dyDescent="0.25">
      <c r="A146" s="2" t="s">
        <v>350</v>
      </c>
      <c r="B146" s="2" t="s">
        <v>28</v>
      </c>
      <c r="C146" s="4" t="s">
        <v>289</v>
      </c>
      <c r="D146" s="2">
        <v>0.50900000000000001</v>
      </c>
    </row>
    <row r="147" spans="1:4" x14ac:dyDescent="0.25">
      <c r="A147" s="2" t="s">
        <v>351</v>
      </c>
      <c r="B147" s="2" t="s">
        <v>28</v>
      </c>
      <c r="C147" s="4" t="s">
        <v>290</v>
      </c>
      <c r="D147" s="2">
        <v>0</v>
      </c>
    </row>
    <row r="148" spans="1:4" x14ac:dyDescent="0.25">
      <c r="A148" s="2" t="s">
        <v>352</v>
      </c>
      <c r="B148" s="2" t="s">
        <v>28</v>
      </c>
      <c r="C148" s="4" t="s">
        <v>291</v>
      </c>
      <c r="D148" s="2">
        <v>0</v>
      </c>
    </row>
    <row r="149" spans="1:4" x14ac:dyDescent="0.25">
      <c r="A149" s="2" t="s">
        <v>353</v>
      </c>
      <c r="B149" s="2" t="s">
        <v>28</v>
      </c>
      <c r="C149" s="4" t="s">
        <v>292</v>
      </c>
      <c r="D149" s="2">
        <v>0</v>
      </c>
    </row>
    <row r="150" spans="1:4" x14ac:dyDescent="0.25">
      <c r="A150" s="2" t="s">
        <v>354</v>
      </c>
      <c r="B150" s="2" t="s">
        <v>28</v>
      </c>
      <c r="C150" s="4" t="s">
        <v>293</v>
      </c>
      <c r="D150" s="2">
        <v>0</v>
      </c>
    </row>
    <row r="151" spans="1:4" x14ac:dyDescent="0.25">
      <c r="A151" s="2" t="s">
        <v>355</v>
      </c>
      <c r="B151" s="2" t="s">
        <v>28</v>
      </c>
      <c r="C151" s="4" t="s">
        <v>294</v>
      </c>
      <c r="D151" s="2">
        <v>0</v>
      </c>
    </row>
    <row r="152" spans="1:4" x14ac:dyDescent="0.25">
      <c r="A152" s="2" t="s">
        <v>356</v>
      </c>
      <c r="B152" s="2" t="s">
        <v>28</v>
      </c>
      <c r="C152" s="4" t="s">
        <v>295</v>
      </c>
      <c r="D152" s="2">
        <v>0</v>
      </c>
    </row>
    <row r="153" spans="1:4" x14ac:dyDescent="0.25">
      <c r="A153" s="2" t="s">
        <v>357</v>
      </c>
      <c r="B153" s="2" t="s">
        <v>28</v>
      </c>
      <c r="C153" s="4" t="s">
        <v>296</v>
      </c>
      <c r="D153" s="2">
        <v>0.121</v>
      </c>
    </row>
    <row r="154" spans="1:4" x14ac:dyDescent="0.25">
      <c r="A154" s="2" t="s">
        <v>358</v>
      </c>
      <c r="B154" s="2" t="s">
        <v>28</v>
      </c>
      <c r="C154" s="4" t="s">
        <v>297</v>
      </c>
      <c r="D154" s="2">
        <v>0</v>
      </c>
    </row>
    <row r="155" spans="1:4" x14ac:dyDescent="0.25">
      <c r="A155" s="2" t="s">
        <v>359</v>
      </c>
      <c r="B155" s="2" t="s">
        <v>28</v>
      </c>
      <c r="C155" s="4" t="s">
        <v>298</v>
      </c>
      <c r="D155" s="2">
        <v>0</v>
      </c>
    </row>
    <row r="156" spans="1:4" x14ac:dyDescent="0.25">
      <c r="A156" s="2" t="s">
        <v>360</v>
      </c>
      <c r="B156" s="2" t="s">
        <v>28</v>
      </c>
      <c r="C156" s="4" t="s">
        <v>299</v>
      </c>
      <c r="D156" s="2">
        <v>0</v>
      </c>
    </row>
    <row r="157" spans="1:4" x14ac:dyDescent="0.25">
      <c r="A157" s="2" t="s">
        <v>361</v>
      </c>
      <c r="B157" s="2" t="s">
        <v>28</v>
      </c>
      <c r="C157" s="4" t="s">
        <v>300</v>
      </c>
      <c r="D157" s="2">
        <v>0</v>
      </c>
    </row>
    <row r="158" spans="1:4" x14ac:dyDescent="0.25">
      <c r="A158" s="2" t="s">
        <v>362</v>
      </c>
      <c r="B158" s="2" t="s">
        <v>28</v>
      </c>
      <c r="C158" s="4" t="s">
        <v>301</v>
      </c>
      <c r="D158" s="2">
        <v>0</v>
      </c>
    </row>
    <row r="159" spans="1:4" x14ac:dyDescent="0.25">
      <c r="A159" s="2" t="s">
        <v>363</v>
      </c>
      <c r="B159" s="2" t="s">
        <v>28</v>
      </c>
      <c r="C159" s="4" t="s">
        <v>302</v>
      </c>
      <c r="D159" s="2">
        <v>0</v>
      </c>
    </row>
    <row r="160" spans="1:4" x14ac:dyDescent="0.25">
      <c r="A160" s="2" t="s">
        <v>364</v>
      </c>
      <c r="B160" s="2" t="s">
        <v>28</v>
      </c>
      <c r="C160" s="4" t="s">
        <v>303</v>
      </c>
      <c r="D160" s="2">
        <v>0</v>
      </c>
    </row>
    <row r="161" spans="1:4" x14ac:dyDescent="0.25">
      <c r="A161" s="2" t="s">
        <v>365</v>
      </c>
      <c r="B161" s="2" t="s">
        <v>28</v>
      </c>
      <c r="C161" s="4" t="s">
        <v>304</v>
      </c>
      <c r="D161" s="2">
        <v>0</v>
      </c>
    </row>
    <row r="162" spans="1:4" x14ac:dyDescent="0.25">
      <c r="A162" s="2" t="s">
        <v>366</v>
      </c>
      <c r="B162" s="2" t="s">
        <v>28</v>
      </c>
      <c r="C162" s="4" t="s">
        <v>305</v>
      </c>
      <c r="D162" s="2">
        <v>0</v>
      </c>
    </row>
    <row r="163" spans="1:4" x14ac:dyDescent="0.25">
      <c r="A163" s="2" t="s">
        <v>367</v>
      </c>
      <c r="B163" s="2" t="s">
        <v>28</v>
      </c>
      <c r="C163" s="4" t="s">
        <v>306</v>
      </c>
      <c r="D163" s="2">
        <v>0</v>
      </c>
    </row>
    <row r="164" spans="1:4" x14ac:dyDescent="0.25">
      <c r="A164" s="2" t="s">
        <v>368</v>
      </c>
      <c r="B164" s="2" t="s">
        <v>28</v>
      </c>
      <c r="C164" s="4" t="s">
        <v>307</v>
      </c>
      <c r="D164" s="2">
        <v>0</v>
      </c>
    </row>
    <row r="165" spans="1:4" x14ac:dyDescent="0.25">
      <c r="A165" s="2" t="s">
        <v>369</v>
      </c>
      <c r="B165" s="2" t="s">
        <v>28</v>
      </c>
      <c r="C165" s="4" t="s">
        <v>308</v>
      </c>
      <c r="D165" s="2">
        <v>0</v>
      </c>
    </row>
    <row r="166" spans="1:4" x14ac:dyDescent="0.25">
      <c r="A166" s="2" t="s">
        <v>370</v>
      </c>
      <c r="B166" s="2" t="s">
        <v>28</v>
      </c>
      <c r="C166" s="4" t="s">
        <v>309</v>
      </c>
      <c r="D166" s="2">
        <v>0</v>
      </c>
    </row>
    <row r="167" spans="1:4" x14ac:dyDescent="0.25">
      <c r="A167" s="2" t="s">
        <v>371</v>
      </c>
      <c r="B167" s="2" t="s">
        <v>28</v>
      </c>
      <c r="C167" s="4" t="s">
        <v>310</v>
      </c>
      <c r="D167" s="2">
        <v>0</v>
      </c>
    </row>
    <row r="168" spans="1:4" x14ac:dyDescent="0.25">
      <c r="A168" s="2" t="s">
        <v>372</v>
      </c>
      <c r="B168" s="2" t="s">
        <v>28</v>
      </c>
      <c r="C168" s="4" t="s">
        <v>311</v>
      </c>
      <c r="D168" s="2">
        <v>0</v>
      </c>
    </row>
    <row r="169" spans="1:4" x14ac:dyDescent="0.25">
      <c r="A169" s="2" t="s">
        <v>373</v>
      </c>
      <c r="B169" s="2" t="s">
        <v>28</v>
      </c>
      <c r="C169" s="4" t="s">
        <v>312</v>
      </c>
      <c r="D169" s="2">
        <v>0</v>
      </c>
    </row>
    <row r="170" spans="1:4" x14ac:dyDescent="0.25">
      <c r="A170" s="2" t="s">
        <v>374</v>
      </c>
      <c r="B170" s="2" t="s">
        <v>28</v>
      </c>
      <c r="C170" s="4" t="s">
        <v>313</v>
      </c>
      <c r="D170" s="2">
        <v>0</v>
      </c>
    </row>
    <row r="171" spans="1:4" x14ac:dyDescent="0.25">
      <c r="A171" s="2" t="s">
        <v>375</v>
      </c>
      <c r="B171" s="2" t="s">
        <v>28</v>
      </c>
      <c r="C171" s="4" t="s">
        <v>314</v>
      </c>
      <c r="D171" s="2">
        <v>0</v>
      </c>
    </row>
    <row r="172" spans="1:4" x14ac:dyDescent="0.25">
      <c r="A172" s="2" t="s">
        <v>417</v>
      </c>
      <c r="B172" s="2" t="s">
        <v>28</v>
      </c>
      <c r="C172" s="4" t="s">
        <v>315</v>
      </c>
      <c r="D172" s="2">
        <v>0</v>
      </c>
    </row>
    <row r="173" spans="1:4" x14ac:dyDescent="0.25">
      <c r="A173" s="2" t="s">
        <v>418</v>
      </c>
      <c r="B173" s="2" t="s">
        <v>28</v>
      </c>
      <c r="C173" s="4" t="s">
        <v>316</v>
      </c>
      <c r="D173" s="2">
        <v>0</v>
      </c>
    </row>
    <row r="174" spans="1:4" x14ac:dyDescent="0.25">
      <c r="A174" s="2" t="s">
        <v>419</v>
      </c>
      <c r="B174" s="2" t="s">
        <v>28</v>
      </c>
      <c r="C174" s="4" t="s">
        <v>317</v>
      </c>
      <c r="D174" s="2">
        <v>0</v>
      </c>
    </row>
    <row r="175" spans="1:4" x14ac:dyDescent="0.25">
      <c r="A175" s="2" t="s">
        <v>420</v>
      </c>
      <c r="B175" s="2" t="s">
        <v>28</v>
      </c>
      <c r="C175" s="4" t="s">
        <v>318</v>
      </c>
      <c r="D175" s="2">
        <v>0</v>
      </c>
    </row>
    <row r="176" spans="1:4" x14ac:dyDescent="0.25">
      <c r="A176" s="2" t="s">
        <v>421</v>
      </c>
      <c r="B176" s="2" t="s">
        <v>28</v>
      </c>
      <c r="C176" s="4" t="s">
        <v>319</v>
      </c>
      <c r="D176" s="2">
        <v>0</v>
      </c>
    </row>
    <row r="177" spans="1:4" x14ac:dyDescent="0.25">
      <c r="A177" s="2" t="s">
        <v>422</v>
      </c>
      <c r="B177" s="2" t="s">
        <v>28</v>
      </c>
      <c r="C177" s="4" t="s">
        <v>320</v>
      </c>
      <c r="D177" s="2">
        <v>0</v>
      </c>
    </row>
    <row r="178" spans="1:4" x14ac:dyDescent="0.25">
      <c r="A178" s="2" t="s">
        <v>423</v>
      </c>
      <c r="B178" s="2" t="s">
        <v>28</v>
      </c>
      <c r="C178" s="4" t="s">
        <v>321</v>
      </c>
      <c r="D178" s="2">
        <v>0</v>
      </c>
    </row>
    <row r="179" spans="1:4" x14ac:dyDescent="0.25">
      <c r="A179" s="2" t="s">
        <v>424</v>
      </c>
      <c r="B179" s="2" t="s">
        <v>28</v>
      </c>
      <c r="C179" s="4" t="s">
        <v>322</v>
      </c>
      <c r="D179" s="2">
        <v>0</v>
      </c>
    </row>
    <row r="180" spans="1:4" x14ac:dyDescent="0.25">
      <c r="A180" s="2" t="s">
        <v>425</v>
      </c>
      <c r="B180" s="2" t="s">
        <v>28</v>
      </c>
      <c r="C180" s="4" t="s">
        <v>323</v>
      </c>
      <c r="D180" s="2">
        <v>0</v>
      </c>
    </row>
    <row r="181" spans="1:4" x14ac:dyDescent="0.25">
      <c r="A181" s="2" t="s">
        <v>426</v>
      </c>
      <c r="B181" s="2" t="s">
        <v>28</v>
      </c>
      <c r="C181" s="4" t="s">
        <v>324</v>
      </c>
      <c r="D181" s="2">
        <v>0</v>
      </c>
    </row>
    <row r="182" spans="1:4" x14ac:dyDescent="0.25">
      <c r="A182" s="2" t="s">
        <v>427</v>
      </c>
      <c r="B182" s="2" t="s">
        <v>28</v>
      </c>
      <c r="C182" s="4" t="s">
        <v>325</v>
      </c>
      <c r="D182" s="2">
        <v>0</v>
      </c>
    </row>
    <row r="183" spans="1:4" x14ac:dyDescent="0.25">
      <c r="A183" s="2" t="s">
        <v>428</v>
      </c>
      <c r="B183" s="2" t="s">
        <v>28</v>
      </c>
      <c r="C183" s="4" t="s">
        <v>326</v>
      </c>
      <c r="D183" s="2">
        <v>0</v>
      </c>
    </row>
    <row r="184" spans="1:4" x14ac:dyDescent="0.25">
      <c r="A184" s="2" t="s">
        <v>429</v>
      </c>
      <c r="B184" s="2" t="s">
        <v>28</v>
      </c>
      <c r="C184" s="4" t="s">
        <v>327</v>
      </c>
      <c r="D184" s="2">
        <v>0</v>
      </c>
    </row>
    <row r="185" spans="1:4" x14ac:dyDescent="0.25">
      <c r="A185" s="2" t="s">
        <v>430</v>
      </c>
      <c r="B185" s="2" t="s">
        <v>28</v>
      </c>
      <c r="C185" s="4" t="s">
        <v>328</v>
      </c>
      <c r="D185" s="2">
        <v>0</v>
      </c>
    </row>
    <row r="186" spans="1:4" x14ac:dyDescent="0.25">
      <c r="A186" s="2" t="s">
        <v>431</v>
      </c>
      <c r="B186" s="2" t="s">
        <v>28</v>
      </c>
      <c r="C186" s="4" t="s">
        <v>329</v>
      </c>
      <c r="D186" s="2">
        <v>0</v>
      </c>
    </row>
    <row r="187" spans="1:4" x14ac:dyDescent="0.25">
      <c r="A187" s="2" t="s">
        <v>432</v>
      </c>
      <c r="B187" s="2" t="s">
        <v>28</v>
      </c>
      <c r="C187" s="4" t="s">
        <v>330</v>
      </c>
      <c r="D187" s="2">
        <v>0</v>
      </c>
    </row>
    <row r="188" spans="1:4" x14ac:dyDescent="0.25">
      <c r="A188" s="2" t="s">
        <v>433</v>
      </c>
      <c r="B188" s="2" t="s">
        <v>28</v>
      </c>
      <c r="C188" s="4" t="s">
        <v>331</v>
      </c>
      <c r="D188" s="2">
        <v>0</v>
      </c>
    </row>
    <row r="189" spans="1:4" x14ac:dyDescent="0.25">
      <c r="A189" s="2" t="s">
        <v>434</v>
      </c>
      <c r="B189" s="2" t="s">
        <v>30</v>
      </c>
      <c r="C189" s="4" t="s">
        <v>376</v>
      </c>
      <c r="D189" s="2">
        <v>0</v>
      </c>
    </row>
    <row r="190" spans="1:4" x14ac:dyDescent="0.25">
      <c r="A190" s="2" t="s">
        <v>435</v>
      </c>
      <c r="B190" s="2" t="s">
        <v>30</v>
      </c>
      <c r="C190" s="4" t="s">
        <v>377</v>
      </c>
      <c r="D190" s="2">
        <v>0</v>
      </c>
    </row>
    <row r="191" spans="1:4" x14ac:dyDescent="0.25">
      <c r="A191" s="2" t="s">
        <v>436</v>
      </c>
      <c r="B191" s="2" t="s">
        <v>30</v>
      </c>
      <c r="C191" s="4" t="s">
        <v>378</v>
      </c>
      <c r="D191" s="2">
        <v>0</v>
      </c>
    </row>
    <row r="192" spans="1:4" x14ac:dyDescent="0.25">
      <c r="A192" s="2" t="s">
        <v>437</v>
      </c>
      <c r="B192" s="2" t="s">
        <v>30</v>
      </c>
      <c r="C192" s="4" t="s">
        <v>379</v>
      </c>
      <c r="D192" s="2">
        <v>0</v>
      </c>
    </row>
    <row r="193" spans="1:4" x14ac:dyDescent="0.25">
      <c r="A193" s="2" t="s">
        <v>438</v>
      </c>
      <c r="B193" s="2" t="s">
        <v>30</v>
      </c>
      <c r="C193" s="4" t="s">
        <v>380</v>
      </c>
      <c r="D193" s="2">
        <v>0</v>
      </c>
    </row>
    <row r="194" spans="1:4" x14ac:dyDescent="0.25">
      <c r="A194" s="2" t="s">
        <v>439</v>
      </c>
      <c r="B194" s="2" t="s">
        <v>30</v>
      </c>
      <c r="C194" s="4" t="s">
        <v>381</v>
      </c>
      <c r="D194">
        <v>0.58399999999999996</v>
      </c>
    </row>
    <row r="195" spans="1:4" x14ac:dyDescent="0.25">
      <c r="A195" s="2" t="s">
        <v>440</v>
      </c>
      <c r="B195" s="2" t="s">
        <v>30</v>
      </c>
      <c r="C195" s="4" t="s">
        <v>382</v>
      </c>
      <c r="D195" s="2">
        <v>0</v>
      </c>
    </row>
    <row r="196" spans="1:4" x14ac:dyDescent="0.25">
      <c r="A196" s="2" t="s">
        <v>441</v>
      </c>
      <c r="B196" s="2" t="s">
        <v>30</v>
      </c>
      <c r="C196" s="4" t="s">
        <v>383</v>
      </c>
      <c r="D196" s="2">
        <v>0</v>
      </c>
    </row>
    <row r="197" spans="1:4" x14ac:dyDescent="0.25">
      <c r="A197" s="2" t="s">
        <v>442</v>
      </c>
      <c r="B197" s="2" t="s">
        <v>30</v>
      </c>
      <c r="C197" s="4" t="s">
        <v>384</v>
      </c>
      <c r="D197" s="2">
        <v>0</v>
      </c>
    </row>
    <row r="198" spans="1:4" x14ac:dyDescent="0.25">
      <c r="A198" s="2" t="s">
        <v>443</v>
      </c>
      <c r="B198" s="2" t="s">
        <v>30</v>
      </c>
      <c r="C198" s="4" t="s">
        <v>385</v>
      </c>
      <c r="D198" s="2">
        <v>0</v>
      </c>
    </row>
    <row r="199" spans="1:4" x14ac:dyDescent="0.25">
      <c r="A199" s="2" t="s">
        <v>444</v>
      </c>
      <c r="B199" s="2" t="s">
        <v>30</v>
      </c>
      <c r="C199" s="4" t="s">
        <v>386</v>
      </c>
      <c r="D199" s="2">
        <v>0</v>
      </c>
    </row>
    <row r="200" spans="1:4" x14ac:dyDescent="0.25">
      <c r="A200" s="2" t="s">
        <v>445</v>
      </c>
      <c r="B200" s="2" t="s">
        <v>30</v>
      </c>
      <c r="C200" s="4" t="s">
        <v>387</v>
      </c>
      <c r="D200" s="2">
        <v>0</v>
      </c>
    </row>
    <row r="201" spans="1:4" x14ac:dyDescent="0.25">
      <c r="A201" s="2" t="s">
        <v>446</v>
      </c>
      <c r="B201" s="2" t="s">
        <v>30</v>
      </c>
      <c r="C201" s="4" t="s">
        <v>388</v>
      </c>
      <c r="D201" s="2">
        <v>0</v>
      </c>
    </row>
    <row r="202" spans="1:4" x14ac:dyDescent="0.25">
      <c r="A202" s="2" t="s">
        <v>447</v>
      </c>
      <c r="B202" s="2" t="s">
        <v>30</v>
      </c>
      <c r="C202" s="4" t="s">
        <v>389</v>
      </c>
      <c r="D202" s="2">
        <v>0</v>
      </c>
    </row>
    <row r="203" spans="1:4" x14ac:dyDescent="0.25">
      <c r="A203" s="2" t="s">
        <v>448</v>
      </c>
      <c r="B203" s="2" t="s">
        <v>30</v>
      </c>
      <c r="C203" s="4" t="s">
        <v>322</v>
      </c>
      <c r="D203" s="2">
        <v>0</v>
      </c>
    </row>
    <row r="204" spans="1:4" x14ac:dyDescent="0.25">
      <c r="A204" s="2" t="s">
        <v>449</v>
      </c>
      <c r="B204" s="2" t="s">
        <v>30</v>
      </c>
      <c r="C204" s="4" t="s">
        <v>390</v>
      </c>
      <c r="D204" s="2">
        <v>0</v>
      </c>
    </row>
    <row r="205" spans="1:4" x14ac:dyDescent="0.25">
      <c r="A205" s="2" t="s">
        <v>450</v>
      </c>
      <c r="B205" s="2" t="s">
        <v>30</v>
      </c>
      <c r="C205" s="4" t="s">
        <v>391</v>
      </c>
      <c r="D205" s="2">
        <v>0</v>
      </c>
    </row>
    <row r="206" spans="1:4" x14ac:dyDescent="0.25">
      <c r="A206" s="2" t="s">
        <v>451</v>
      </c>
      <c r="B206" s="2" t="s">
        <v>30</v>
      </c>
      <c r="C206" s="4" t="s">
        <v>392</v>
      </c>
      <c r="D206" s="2">
        <v>0</v>
      </c>
    </row>
    <row r="207" spans="1:4" x14ac:dyDescent="0.25">
      <c r="A207" s="2" t="s">
        <v>452</v>
      </c>
      <c r="B207" s="2" t="s">
        <v>30</v>
      </c>
      <c r="C207" s="4" t="s">
        <v>393</v>
      </c>
      <c r="D207" s="2">
        <v>0</v>
      </c>
    </row>
    <row r="208" spans="1:4" x14ac:dyDescent="0.25">
      <c r="A208" s="2" t="s">
        <v>453</v>
      </c>
      <c r="B208" s="2" t="s">
        <v>30</v>
      </c>
      <c r="C208" s="4" t="s">
        <v>394</v>
      </c>
      <c r="D208" s="2">
        <v>0</v>
      </c>
    </row>
    <row r="209" spans="1:4" x14ac:dyDescent="0.25">
      <c r="A209" s="2" t="s">
        <v>454</v>
      </c>
      <c r="B209" s="2" t="s">
        <v>30</v>
      </c>
      <c r="C209" s="4" t="s">
        <v>395</v>
      </c>
      <c r="D209" s="2">
        <v>0</v>
      </c>
    </row>
    <row r="210" spans="1:4" x14ac:dyDescent="0.25">
      <c r="A210" s="2" t="s">
        <v>455</v>
      </c>
      <c r="B210" s="2" t="s">
        <v>30</v>
      </c>
      <c r="C210" s="4" t="s">
        <v>396</v>
      </c>
      <c r="D210" s="2">
        <v>0</v>
      </c>
    </row>
    <row r="211" spans="1:4" x14ac:dyDescent="0.25">
      <c r="A211" s="2" t="s">
        <v>456</v>
      </c>
      <c r="B211" s="2" t="s">
        <v>30</v>
      </c>
      <c r="C211" s="4" t="s">
        <v>397</v>
      </c>
      <c r="D211" s="2">
        <v>0</v>
      </c>
    </row>
    <row r="212" spans="1:4" x14ac:dyDescent="0.25">
      <c r="A212" s="2" t="s">
        <v>457</v>
      </c>
      <c r="B212" s="2" t="s">
        <v>30</v>
      </c>
      <c r="C212" s="4" t="s">
        <v>398</v>
      </c>
      <c r="D212" s="2">
        <v>0</v>
      </c>
    </row>
    <row r="213" spans="1:4" x14ac:dyDescent="0.25">
      <c r="A213" s="2" t="s">
        <v>458</v>
      </c>
      <c r="B213" s="2" t="s">
        <v>30</v>
      </c>
      <c r="C213" s="4" t="s">
        <v>399</v>
      </c>
      <c r="D213" s="2">
        <v>0</v>
      </c>
    </row>
    <row r="214" spans="1:4" x14ac:dyDescent="0.25">
      <c r="A214" s="2" t="s">
        <v>459</v>
      </c>
      <c r="B214" s="2" t="s">
        <v>30</v>
      </c>
      <c r="C214" s="4" t="s">
        <v>400</v>
      </c>
      <c r="D214" s="2">
        <v>0</v>
      </c>
    </row>
    <row r="215" spans="1:4" x14ac:dyDescent="0.25">
      <c r="A215" s="2" t="s">
        <v>460</v>
      </c>
      <c r="B215" s="2" t="s">
        <v>30</v>
      </c>
      <c r="C215" s="4" t="s">
        <v>401</v>
      </c>
      <c r="D215" s="2">
        <v>0</v>
      </c>
    </row>
    <row r="216" spans="1:4" x14ac:dyDescent="0.25">
      <c r="A216" s="2" t="s">
        <v>464</v>
      </c>
      <c r="B216" s="2" t="s">
        <v>30</v>
      </c>
      <c r="C216" s="4" t="s">
        <v>402</v>
      </c>
      <c r="D216" s="2">
        <v>0</v>
      </c>
    </row>
    <row r="217" spans="1:4" x14ac:dyDescent="0.25">
      <c r="A217" s="2" t="s">
        <v>465</v>
      </c>
      <c r="B217" s="2" t="s">
        <v>30</v>
      </c>
      <c r="C217" s="4" t="s">
        <v>403</v>
      </c>
      <c r="D217" s="2">
        <v>0</v>
      </c>
    </row>
    <row r="218" spans="1:4" x14ac:dyDescent="0.25">
      <c r="A218" s="2" t="s">
        <v>466</v>
      </c>
      <c r="B218" s="2" t="s">
        <v>30</v>
      </c>
      <c r="C218" s="4" t="s">
        <v>404</v>
      </c>
      <c r="D218" s="2">
        <v>0</v>
      </c>
    </row>
    <row r="219" spans="1:4" x14ac:dyDescent="0.25">
      <c r="A219" s="2" t="s">
        <v>467</v>
      </c>
      <c r="B219" s="2" t="s">
        <v>30</v>
      </c>
      <c r="C219" s="4" t="s">
        <v>405</v>
      </c>
      <c r="D219" s="2">
        <v>0</v>
      </c>
    </row>
    <row r="220" spans="1:4" x14ac:dyDescent="0.25">
      <c r="A220" s="2" t="s">
        <v>470</v>
      </c>
      <c r="B220" s="2" t="s">
        <v>30</v>
      </c>
      <c r="C220" s="4" t="s">
        <v>406</v>
      </c>
      <c r="D220" s="2">
        <v>0</v>
      </c>
    </row>
    <row r="221" spans="1:4" x14ac:dyDescent="0.25">
      <c r="A221" s="2" t="s">
        <v>471</v>
      </c>
      <c r="B221" s="2" t="s">
        <v>30</v>
      </c>
      <c r="C221" s="4" t="s">
        <v>407</v>
      </c>
      <c r="D221" s="2">
        <v>0</v>
      </c>
    </row>
    <row r="222" spans="1:4" x14ac:dyDescent="0.25">
      <c r="A222" s="2" t="s">
        <v>472</v>
      </c>
      <c r="B222" s="2" t="s">
        <v>30</v>
      </c>
      <c r="C222" s="4" t="s">
        <v>408</v>
      </c>
      <c r="D222" s="2">
        <v>0</v>
      </c>
    </row>
    <row r="223" spans="1:4" x14ac:dyDescent="0.25">
      <c r="A223" s="2" t="s">
        <v>473</v>
      </c>
      <c r="B223" s="2" t="s">
        <v>30</v>
      </c>
      <c r="C223" s="4" t="s">
        <v>409</v>
      </c>
      <c r="D223" s="2">
        <v>0</v>
      </c>
    </row>
    <row r="224" spans="1:4" x14ac:dyDescent="0.25">
      <c r="A224" s="2" t="s">
        <v>474</v>
      </c>
      <c r="B224" s="2" t="s">
        <v>30</v>
      </c>
      <c r="C224" s="4" t="s">
        <v>410</v>
      </c>
      <c r="D224" s="2">
        <v>0</v>
      </c>
    </row>
    <row r="225" spans="1:4" x14ac:dyDescent="0.25">
      <c r="A225" s="2" t="s">
        <v>519</v>
      </c>
      <c r="B225" s="2" t="s">
        <v>30</v>
      </c>
      <c r="C225" s="4" t="s">
        <v>411</v>
      </c>
      <c r="D225" s="2">
        <v>0</v>
      </c>
    </row>
    <row r="226" spans="1:4" x14ac:dyDescent="0.25">
      <c r="A226" s="2" t="s">
        <v>520</v>
      </c>
      <c r="B226" s="2" t="s">
        <v>30</v>
      </c>
      <c r="C226" s="4" t="s">
        <v>412</v>
      </c>
      <c r="D226" s="2">
        <v>0</v>
      </c>
    </row>
    <row r="227" spans="1:4" x14ac:dyDescent="0.25">
      <c r="A227" s="2" t="s">
        <v>521</v>
      </c>
      <c r="B227" s="2" t="s">
        <v>30</v>
      </c>
      <c r="C227" s="4" t="s">
        <v>329</v>
      </c>
      <c r="D227" s="2">
        <v>0</v>
      </c>
    </row>
    <row r="228" spans="1:4" x14ac:dyDescent="0.25">
      <c r="A228" s="2" t="s">
        <v>522</v>
      </c>
      <c r="B228" s="2" t="s">
        <v>30</v>
      </c>
      <c r="C228" s="4" t="s">
        <v>413</v>
      </c>
      <c r="D228" s="2">
        <v>0</v>
      </c>
    </row>
    <row r="229" spans="1:4" x14ac:dyDescent="0.25">
      <c r="A229" s="2" t="s">
        <v>523</v>
      </c>
      <c r="B229" s="2" t="s">
        <v>30</v>
      </c>
      <c r="C229" s="4" t="s">
        <v>133</v>
      </c>
      <c r="D229" s="2">
        <v>0</v>
      </c>
    </row>
    <row r="230" spans="1:4" x14ac:dyDescent="0.25">
      <c r="A230" s="2" t="s">
        <v>524</v>
      </c>
      <c r="B230" s="2" t="s">
        <v>30</v>
      </c>
      <c r="C230" s="4" t="s">
        <v>414</v>
      </c>
      <c r="D230" s="2">
        <v>0</v>
      </c>
    </row>
    <row r="231" spans="1:4" x14ac:dyDescent="0.25">
      <c r="A231" s="2" t="s">
        <v>525</v>
      </c>
      <c r="B231" s="2" t="s">
        <v>30</v>
      </c>
      <c r="C231" s="4" t="s">
        <v>415</v>
      </c>
      <c r="D231" s="2">
        <v>0</v>
      </c>
    </row>
    <row r="232" spans="1:4" x14ac:dyDescent="0.25">
      <c r="A232" s="2" t="s">
        <v>526</v>
      </c>
      <c r="B232" s="2" t="s">
        <v>30</v>
      </c>
      <c r="C232" s="4" t="s">
        <v>416</v>
      </c>
      <c r="D232" s="2">
        <v>0</v>
      </c>
    </row>
    <row r="233" spans="1:4" x14ac:dyDescent="0.25">
      <c r="A233" s="2" t="s">
        <v>527</v>
      </c>
      <c r="B233" s="2" t="s">
        <v>32</v>
      </c>
      <c r="C233" s="4" t="s">
        <v>461</v>
      </c>
      <c r="D233" s="2">
        <v>0</v>
      </c>
    </row>
    <row r="234" spans="1:4" x14ac:dyDescent="0.25">
      <c r="A234" s="2" t="s">
        <v>528</v>
      </c>
      <c r="B234" s="2" t="s">
        <v>32</v>
      </c>
      <c r="C234" s="4" t="s">
        <v>462</v>
      </c>
      <c r="D234" s="2">
        <v>0</v>
      </c>
    </row>
    <row r="235" spans="1:4" x14ac:dyDescent="0.25">
      <c r="A235" s="2" t="s">
        <v>529</v>
      </c>
      <c r="B235" s="2" t="s">
        <v>32</v>
      </c>
      <c r="C235" s="4" t="s">
        <v>463</v>
      </c>
      <c r="D235" s="2">
        <v>0</v>
      </c>
    </row>
    <row r="236" spans="1:4" x14ac:dyDescent="0.25">
      <c r="A236" s="2" t="s">
        <v>530</v>
      </c>
      <c r="B236" s="2" t="s">
        <v>32</v>
      </c>
      <c r="C236" s="4" t="s">
        <v>127</v>
      </c>
      <c r="D236" s="2">
        <v>0</v>
      </c>
    </row>
    <row r="237" spans="1:4" x14ac:dyDescent="0.25">
      <c r="A237" s="2" t="s">
        <v>531</v>
      </c>
      <c r="B237" s="2" t="s">
        <v>34</v>
      </c>
      <c r="C237" s="4" t="s">
        <v>463</v>
      </c>
      <c r="D237">
        <f>IF(A220=TRUE,C237,0)</f>
        <v>0</v>
      </c>
    </row>
    <row r="238" spans="1:4" x14ac:dyDescent="0.25">
      <c r="A238" s="2" t="s">
        <v>532</v>
      </c>
      <c r="B238" s="2" t="s">
        <v>34</v>
      </c>
      <c r="C238" s="4" t="s">
        <v>468</v>
      </c>
      <c r="D238">
        <f>IF(A221=TRUE,C238,0)</f>
        <v>0</v>
      </c>
    </row>
    <row r="239" spans="1:4" x14ac:dyDescent="0.25">
      <c r="A239" s="2" t="s">
        <v>533</v>
      </c>
      <c r="B239" s="2" t="s">
        <v>34</v>
      </c>
      <c r="C239" s="4" t="s">
        <v>320</v>
      </c>
      <c r="D239">
        <f>IF(A222=TRUE,C239,0)</f>
        <v>0</v>
      </c>
    </row>
    <row r="240" spans="1:4" x14ac:dyDescent="0.25">
      <c r="A240" s="2" t="s">
        <v>534</v>
      </c>
      <c r="B240" s="2" t="s">
        <v>34</v>
      </c>
      <c r="C240" s="4" t="s">
        <v>322</v>
      </c>
      <c r="D240">
        <f>IF(A223=TRUE,C240,0)</f>
        <v>0</v>
      </c>
    </row>
    <row r="241" spans="1:4" x14ac:dyDescent="0.25">
      <c r="A241" s="2" t="s">
        <v>535</v>
      </c>
      <c r="B241" s="2" t="s">
        <v>34</v>
      </c>
      <c r="C241" s="4" t="s">
        <v>469</v>
      </c>
      <c r="D241">
        <f>IF(A224=TRUE,C241,0)</f>
        <v>0</v>
      </c>
    </row>
    <row r="242" spans="1:4" x14ac:dyDescent="0.25">
      <c r="A242" s="2" t="s">
        <v>536</v>
      </c>
      <c r="B242" s="2" t="s">
        <v>36</v>
      </c>
      <c r="C242" s="4" t="s">
        <v>475</v>
      </c>
      <c r="D242">
        <v>6.0999999999999999E-2</v>
      </c>
    </row>
    <row r="243" spans="1:4" x14ac:dyDescent="0.25">
      <c r="A243" s="2" t="s">
        <v>537</v>
      </c>
      <c r="B243" s="2" t="s">
        <v>36</v>
      </c>
      <c r="C243" s="4" t="s">
        <v>476</v>
      </c>
      <c r="D243">
        <f t="shared" ref="D243:D259" si="0">IF(A226=TRUE,C243,0)</f>
        <v>0</v>
      </c>
    </row>
    <row r="244" spans="1:4" x14ac:dyDescent="0.25">
      <c r="A244" s="2" t="s">
        <v>538</v>
      </c>
      <c r="B244" s="2" t="s">
        <v>36</v>
      </c>
      <c r="C244" s="4" t="s">
        <v>477</v>
      </c>
      <c r="D244">
        <f t="shared" si="0"/>
        <v>0</v>
      </c>
    </row>
    <row r="245" spans="1:4" x14ac:dyDescent="0.25">
      <c r="A245" s="2" t="s">
        <v>539</v>
      </c>
      <c r="B245" s="2" t="s">
        <v>36</v>
      </c>
      <c r="C245" s="4" t="s">
        <v>478</v>
      </c>
      <c r="D245">
        <f t="shared" si="0"/>
        <v>0</v>
      </c>
    </row>
    <row r="246" spans="1:4" x14ac:dyDescent="0.25">
      <c r="A246" s="2" t="s">
        <v>540</v>
      </c>
      <c r="B246" s="2" t="s">
        <v>36</v>
      </c>
      <c r="C246" s="4" t="s">
        <v>479</v>
      </c>
      <c r="D246">
        <f t="shared" si="0"/>
        <v>0</v>
      </c>
    </row>
    <row r="247" spans="1:4" x14ac:dyDescent="0.25">
      <c r="A247" s="2" t="s">
        <v>541</v>
      </c>
      <c r="B247" s="2" t="s">
        <v>36</v>
      </c>
      <c r="C247" s="4" t="s">
        <v>480</v>
      </c>
      <c r="D247">
        <f t="shared" si="0"/>
        <v>0</v>
      </c>
    </row>
    <row r="248" spans="1:4" x14ac:dyDescent="0.25">
      <c r="A248" s="2" t="s">
        <v>542</v>
      </c>
      <c r="B248" s="2" t="s">
        <v>36</v>
      </c>
      <c r="C248" s="4" t="s">
        <v>481</v>
      </c>
      <c r="D248">
        <f t="shared" si="0"/>
        <v>0</v>
      </c>
    </row>
    <row r="249" spans="1:4" x14ac:dyDescent="0.25">
      <c r="A249" s="2" t="s">
        <v>543</v>
      </c>
      <c r="B249" s="2" t="s">
        <v>36</v>
      </c>
      <c r="C249" s="4" t="s">
        <v>482</v>
      </c>
      <c r="D249">
        <f t="shared" si="0"/>
        <v>0</v>
      </c>
    </row>
    <row r="250" spans="1:4" x14ac:dyDescent="0.25">
      <c r="A250" s="2" t="s">
        <v>544</v>
      </c>
      <c r="B250" s="2" t="s">
        <v>36</v>
      </c>
      <c r="C250" s="4" t="s">
        <v>320</v>
      </c>
      <c r="D250">
        <f t="shared" si="0"/>
        <v>0</v>
      </c>
    </row>
    <row r="251" spans="1:4" x14ac:dyDescent="0.25">
      <c r="A251" s="2" t="s">
        <v>545</v>
      </c>
      <c r="B251" s="2" t="s">
        <v>36</v>
      </c>
      <c r="C251" s="4" t="s">
        <v>483</v>
      </c>
      <c r="D251">
        <f t="shared" si="0"/>
        <v>0</v>
      </c>
    </row>
    <row r="252" spans="1:4" x14ac:dyDescent="0.25">
      <c r="A252" s="2" t="s">
        <v>546</v>
      </c>
      <c r="B252" s="2" t="s">
        <v>36</v>
      </c>
      <c r="C252" s="4" t="s">
        <v>484</v>
      </c>
      <c r="D252">
        <f t="shared" si="0"/>
        <v>0</v>
      </c>
    </row>
    <row r="253" spans="1:4" x14ac:dyDescent="0.25">
      <c r="A253" s="2" t="s">
        <v>547</v>
      </c>
      <c r="B253" s="2" t="s">
        <v>36</v>
      </c>
      <c r="C253" s="4" t="s">
        <v>485</v>
      </c>
      <c r="D253">
        <f t="shared" si="0"/>
        <v>0</v>
      </c>
    </row>
    <row r="254" spans="1:4" x14ac:dyDescent="0.25">
      <c r="A254" s="2" t="s">
        <v>548</v>
      </c>
      <c r="B254" s="2" t="s">
        <v>36</v>
      </c>
      <c r="C254" s="4" t="s">
        <v>486</v>
      </c>
      <c r="D254">
        <f t="shared" si="0"/>
        <v>0</v>
      </c>
    </row>
    <row r="255" spans="1:4" x14ac:dyDescent="0.25">
      <c r="A255" s="2" t="s">
        <v>549</v>
      </c>
      <c r="B255" s="2" t="s">
        <v>36</v>
      </c>
      <c r="C255" s="4" t="s">
        <v>487</v>
      </c>
      <c r="D255">
        <f t="shared" si="0"/>
        <v>0</v>
      </c>
    </row>
    <row r="256" spans="1:4" x14ac:dyDescent="0.25">
      <c r="A256" s="2" t="s">
        <v>550</v>
      </c>
      <c r="B256" s="2" t="s">
        <v>36</v>
      </c>
      <c r="C256" s="4" t="s">
        <v>74</v>
      </c>
      <c r="D256">
        <f t="shared" si="0"/>
        <v>0</v>
      </c>
    </row>
    <row r="257" spans="1:4" x14ac:dyDescent="0.25">
      <c r="A257" s="2" t="s">
        <v>551</v>
      </c>
      <c r="B257" s="2" t="s">
        <v>36</v>
      </c>
      <c r="C257" s="4" t="s">
        <v>488</v>
      </c>
      <c r="D257">
        <f t="shared" si="0"/>
        <v>0</v>
      </c>
    </row>
    <row r="258" spans="1:4" x14ac:dyDescent="0.25">
      <c r="A258" s="2" t="s">
        <v>552</v>
      </c>
      <c r="B258" s="2" t="s">
        <v>36</v>
      </c>
      <c r="C258" s="4" t="s">
        <v>489</v>
      </c>
      <c r="D258">
        <f t="shared" si="0"/>
        <v>0</v>
      </c>
    </row>
    <row r="259" spans="1:4" x14ac:dyDescent="0.25">
      <c r="A259" s="2" t="s">
        <v>553</v>
      </c>
      <c r="B259" s="2" t="s">
        <v>36</v>
      </c>
      <c r="C259" s="4" t="s">
        <v>490</v>
      </c>
      <c r="D259">
        <f t="shared" si="0"/>
        <v>0</v>
      </c>
    </row>
    <row r="260" spans="1:4" x14ac:dyDescent="0.25">
      <c r="A260" s="2" t="s">
        <v>554</v>
      </c>
      <c r="B260" s="2" t="s">
        <v>36</v>
      </c>
      <c r="C260" s="4" t="s">
        <v>491</v>
      </c>
      <c r="D260">
        <v>0.28399999999999997</v>
      </c>
    </row>
    <row r="261" spans="1:4" x14ac:dyDescent="0.25">
      <c r="A261" s="2" t="s">
        <v>555</v>
      </c>
      <c r="B261" s="2" t="s">
        <v>36</v>
      </c>
      <c r="C261" s="4" t="s">
        <v>492</v>
      </c>
      <c r="D261">
        <f t="shared" ref="D261:D306" si="1">IF(A244=TRUE,C261,0)</f>
        <v>0</v>
      </c>
    </row>
    <row r="262" spans="1:4" x14ac:dyDescent="0.25">
      <c r="A262" s="2" t="s">
        <v>556</v>
      </c>
      <c r="B262" s="2" t="s">
        <v>36</v>
      </c>
      <c r="C262" s="4" t="s">
        <v>493</v>
      </c>
      <c r="D262">
        <f t="shared" si="1"/>
        <v>0</v>
      </c>
    </row>
    <row r="263" spans="1:4" x14ac:dyDescent="0.25">
      <c r="A263" s="2" t="s">
        <v>557</v>
      </c>
      <c r="B263" s="2" t="s">
        <v>36</v>
      </c>
      <c r="C263" s="4" t="s">
        <v>494</v>
      </c>
      <c r="D263">
        <f t="shared" si="1"/>
        <v>0</v>
      </c>
    </row>
    <row r="264" spans="1:4" x14ac:dyDescent="0.25">
      <c r="A264" s="2" t="s">
        <v>558</v>
      </c>
      <c r="B264" s="2" t="s">
        <v>36</v>
      </c>
      <c r="C264" s="4" t="s">
        <v>495</v>
      </c>
      <c r="D264">
        <f t="shared" si="1"/>
        <v>0</v>
      </c>
    </row>
    <row r="265" spans="1:4" x14ac:dyDescent="0.25">
      <c r="A265" s="2" t="s">
        <v>559</v>
      </c>
      <c r="B265" s="2" t="s">
        <v>36</v>
      </c>
      <c r="C265" s="4" t="s">
        <v>496</v>
      </c>
      <c r="D265">
        <f t="shared" si="1"/>
        <v>0</v>
      </c>
    </row>
    <row r="266" spans="1:4" x14ac:dyDescent="0.25">
      <c r="A266" s="2" t="s">
        <v>560</v>
      </c>
      <c r="B266" s="2" t="s">
        <v>36</v>
      </c>
      <c r="C266" s="4" t="s">
        <v>497</v>
      </c>
      <c r="D266">
        <f t="shared" si="1"/>
        <v>0</v>
      </c>
    </row>
    <row r="267" spans="1:4" x14ac:dyDescent="0.25">
      <c r="A267" s="2" t="s">
        <v>561</v>
      </c>
      <c r="B267" s="2" t="s">
        <v>36</v>
      </c>
      <c r="C267" s="4" t="s">
        <v>498</v>
      </c>
      <c r="D267">
        <f t="shared" si="1"/>
        <v>0</v>
      </c>
    </row>
    <row r="268" spans="1:4" x14ac:dyDescent="0.25">
      <c r="A268" s="2" t="s">
        <v>562</v>
      </c>
      <c r="B268" s="2" t="s">
        <v>36</v>
      </c>
      <c r="C268" s="4" t="s">
        <v>499</v>
      </c>
      <c r="D268">
        <f t="shared" si="1"/>
        <v>0</v>
      </c>
    </row>
    <row r="269" spans="1:4" x14ac:dyDescent="0.25">
      <c r="A269" s="2" t="s">
        <v>563</v>
      </c>
      <c r="B269" s="2" t="s">
        <v>36</v>
      </c>
      <c r="C269" s="4" t="s">
        <v>500</v>
      </c>
      <c r="D269">
        <f t="shared" si="1"/>
        <v>0</v>
      </c>
    </row>
    <row r="270" spans="1:4" x14ac:dyDescent="0.25">
      <c r="A270" s="2" t="s">
        <v>564</v>
      </c>
      <c r="B270" s="2" t="s">
        <v>36</v>
      </c>
      <c r="C270" s="4" t="s">
        <v>501</v>
      </c>
      <c r="D270">
        <f t="shared" si="1"/>
        <v>0</v>
      </c>
    </row>
    <row r="271" spans="1:4" x14ac:dyDescent="0.25">
      <c r="A271" s="2" t="s">
        <v>584</v>
      </c>
      <c r="B271" s="2" t="s">
        <v>36</v>
      </c>
      <c r="C271" s="4" t="s">
        <v>502</v>
      </c>
      <c r="D271">
        <f t="shared" si="1"/>
        <v>0</v>
      </c>
    </row>
    <row r="272" spans="1:4" x14ac:dyDescent="0.25">
      <c r="A272" s="2" t="s">
        <v>585</v>
      </c>
      <c r="B272" s="2" t="s">
        <v>36</v>
      </c>
      <c r="C272" s="4" t="s">
        <v>503</v>
      </c>
      <c r="D272">
        <f t="shared" si="1"/>
        <v>0</v>
      </c>
    </row>
    <row r="273" spans="1:4" x14ac:dyDescent="0.25">
      <c r="A273" s="2" t="s">
        <v>586</v>
      </c>
      <c r="B273" s="2" t="s">
        <v>36</v>
      </c>
      <c r="C273" s="4" t="s">
        <v>504</v>
      </c>
      <c r="D273">
        <f t="shared" si="1"/>
        <v>0</v>
      </c>
    </row>
    <row r="274" spans="1:4" x14ac:dyDescent="0.25">
      <c r="A274" s="2" t="s">
        <v>587</v>
      </c>
      <c r="B274" s="2" t="s">
        <v>36</v>
      </c>
      <c r="C274" s="4" t="s">
        <v>505</v>
      </c>
      <c r="D274">
        <f t="shared" si="1"/>
        <v>0</v>
      </c>
    </row>
    <row r="275" spans="1:4" x14ac:dyDescent="0.25">
      <c r="A275" s="2" t="s">
        <v>588</v>
      </c>
      <c r="B275" s="2" t="s">
        <v>36</v>
      </c>
      <c r="C275" s="4" t="s">
        <v>506</v>
      </c>
      <c r="D275">
        <f t="shared" si="1"/>
        <v>0</v>
      </c>
    </row>
    <row r="276" spans="1:4" x14ac:dyDescent="0.25">
      <c r="A276" s="2" t="s">
        <v>589</v>
      </c>
      <c r="B276" s="2" t="s">
        <v>36</v>
      </c>
      <c r="C276" s="4" t="s">
        <v>507</v>
      </c>
      <c r="D276">
        <f t="shared" si="1"/>
        <v>0</v>
      </c>
    </row>
    <row r="277" spans="1:4" x14ac:dyDescent="0.25">
      <c r="A277" s="2" t="s">
        <v>590</v>
      </c>
      <c r="B277" s="2" t="s">
        <v>36</v>
      </c>
      <c r="C277" s="4" t="s">
        <v>508</v>
      </c>
      <c r="D277">
        <f t="shared" si="1"/>
        <v>0</v>
      </c>
    </row>
    <row r="278" spans="1:4" x14ac:dyDescent="0.25">
      <c r="A278" s="2" t="s">
        <v>591</v>
      </c>
      <c r="B278" s="2" t="s">
        <v>36</v>
      </c>
      <c r="C278" s="4" t="s">
        <v>509</v>
      </c>
      <c r="D278">
        <f t="shared" si="1"/>
        <v>0</v>
      </c>
    </row>
    <row r="279" spans="1:4" x14ac:dyDescent="0.25">
      <c r="A279" s="2" t="s">
        <v>592</v>
      </c>
      <c r="B279" s="2" t="s">
        <v>36</v>
      </c>
      <c r="C279" s="4" t="s">
        <v>510</v>
      </c>
      <c r="D279">
        <f t="shared" si="1"/>
        <v>0</v>
      </c>
    </row>
    <row r="280" spans="1:4" x14ac:dyDescent="0.25">
      <c r="A280" s="2" t="s">
        <v>593</v>
      </c>
      <c r="B280" s="2" t="s">
        <v>36</v>
      </c>
      <c r="C280" s="4" t="s">
        <v>511</v>
      </c>
      <c r="D280">
        <f t="shared" si="1"/>
        <v>0</v>
      </c>
    </row>
    <row r="281" spans="1:4" x14ac:dyDescent="0.25">
      <c r="A281" s="2" t="s">
        <v>594</v>
      </c>
      <c r="B281" s="2" t="s">
        <v>36</v>
      </c>
      <c r="C281" s="4" t="s">
        <v>512</v>
      </c>
      <c r="D281">
        <f t="shared" si="1"/>
        <v>0</v>
      </c>
    </row>
    <row r="282" spans="1:4" x14ac:dyDescent="0.25">
      <c r="A282" t="s">
        <v>595</v>
      </c>
      <c r="B282" s="2" t="s">
        <v>36</v>
      </c>
      <c r="C282" s="4" t="s">
        <v>513</v>
      </c>
      <c r="D282">
        <f t="shared" si="1"/>
        <v>0</v>
      </c>
    </row>
    <row r="283" spans="1:4" x14ac:dyDescent="0.25">
      <c r="A283" t="s">
        <v>596</v>
      </c>
      <c r="B283" s="2" t="s">
        <v>36</v>
      </c>
      <c r="C283" s="4" t="s">
        <v>514</v>
      </c>
      <c r="D283">
        <f t="shared" si="1"/>
        <v>0</v>
      </c>
    </row>
    <row r="284" spans="1:4" x14ac:dyDescent="0.25">
      <c r="A284" t="s">
        <v>597</v>
      </c>
      <c r="B284" s="2" t="s">
        <v>36</v>
      </c>
      <c r="C284" s="4" t="s">
        <v>515</v>
      </c>
      <c r="D284">
        <f t="shared" si="1"/>
        <v>0</v>
      </c>
    </row>
    <row r="285" spans="1:4" x14ac:dyDescent="0.25">
      <c r="A285" t="s">
        <v>598</v>
      </c>
      <c r="B285" s="2" t="s">
        <v>36</v>
      </c>
      <c r="C285" s="4" t="s">
        <v>516</v>
      </c>
      <c r="D285">
        <f t="shared" si="1"/>
        <v>0</v>
      </c>
    </row>
    <row r="286" spans="1:4" x14ac:dyDescent="0.25">
      <c r="A286" t="s">
        <v>599</v>
      </c>
      <c r="B286" s="2" t="s">
        <v>36</v>
      </c>
      <c r="C286" s="4" t="s">
        <v>517</v>
      </c>
      <c r="D286">
        <f t="shared" si="1"/>
        <v>0</v>
      </c>
    </row>
    <row r="287" spans="1:4" x14ac:dyDescent="0.25">
      <c r="A287" t="s">
        <v>600</v>
      </c>
      <c r="B287" s="2" t="s">
        <v>36</v>
      </c>
      <c r="C287" s="4" t="s">
        <v>518</v>
      </c>
      <c r="D287">
        <f t="shared" si="1"/>
        <v>0</v>
      </c>
    </row>
    <row r="288" spans="1:4" x14ac:dyDescent="0.25">
      <c r="A288" t="s">
        <v>601</v>
      </c>
      <c r="B288" s="2" t="s">
        <v>38</v>
      </c>
      <c r="C288" s="4" t="s">
        <v>565</v>
      </c>
      <c r="D288">
        <f t="shared" si="1"/>
        <v>0</v>
      </c>
    </row>
    <row r="289" spans="1:4" x14ac:dyDescent="0.25">
      <c r="A289" t="s">
        <v>602</v>
      </c>
      <c r="B289" s="2" t="s">
        <v>38</v>
      </c>
      <c r="C289" s="4" t="s">
        <v>566</v>
      </c>
      <c r="D289">
        <f t="shared" si="1"/>
        <v>0</v>
      </c>
    </row>
    <row r="290" spans="1:4" x14ac:dyDescent="0.25">
      <c r="A290" t="s">
        <v>626</v>
      </c>
      <c r="B290" s="2" t="s">
        <v>38</v>
      </c>
      <c r="C290" s="4" t="s">
        <v>567</v>
      </c>
      <c r="D290">
        <f t="shared" si="1"/>
        <v>0</v>
      </c>
    </row>
    <row r="291" spans="1:4" x14ac:dyDescent="0.25">
      <c r="A291" t="s">
        <v>627</v>
      </c>
      <c r="B291" s="2" t="s">
        <v>38</v>
      </c>
      <c r="C291" s="4" t="s">
        <v>568</v>
      </c>
      <c r="D291">
        <f t="shared" si="1"/>
        <v>0</v>
      </c>
    </row>
    <row r="292" spans="1:4" x14ac:dyDescent="0.25">
      <c r="A292" t="s">
        <v>628</v>
      </c>
      <c r="B292" s="2" t="s">
        <v>38</v>
      </c>
      <c r="C292" s="4" t="s">
        <v>569</v>
      </c>
      <c r="D292">
        <f t="shared" si="1"/>
        <v>0</v>
      </c>
    </row>
    <row r="293" spans="1:4" x14ac:dyDescent="0.25">
      <c r="A293" t="s">
        <v>629</v>
      </c>
      <c r="B293" s="2" t="s">
        <v>38</v>
      </c>
      <c r="C293" s="4" t="s">
        <v>570</v>
      </c>
      <c r="D293">
        <f t="shared" si="1"/>
        <v>0</v>
      </c>
    </row>
    <row r="294" spans="1:4" x14ac:dyDescent="0.25">
      <c r="A294" t="s">
        <v>630</v>
      </c>
      <c r="B294" s="2" t="s">
        <v>38</v>
      </c>
      <c r="C294" s="4" t="s">
        <v>571</v>
      </c>
      <c r="D294">
        <f t="shared" si="1"/>
        <v>0</v>
      </c>
    </row>
    <row r="295" spans="1:4" x14ac:dyDescent="0.25">
      <c r="A295" t="s">
        <v>631</v>
      </c>
      <c r="B295" s="2" t="s">
        <v>38</v>
      </c>
      <c r="C295" s="4" t="s">
        <v>572</v>
      </c>
      <c r="D295">
        <f t="shared" si="1"/>
        <v>0</v>
      </c>
    </row>
    <row r="296" spans="1:4" x14ac:dyDescent="0.25">
      <c r="A296" t="s">
        <v>632</v>
      </c>
      <c r="B296" s="2" t="s">
        <v>38</v>
      </c>
      <c r="C296" s="4" t="s">
        <v>573</v>
      </c>
      <c r="D296">
        <f t="shared" si="1"/>
        <v>0</v>
      </c>
    </row>
    <row r="297" spans="1:4" x14ac:dyDescent="0.25">
      <c r="A297" t="s">
        <v>633</v>
      </c>
      <c r="B297" s="2" t="s">
        <v>38</v>
      </c>
      <c r="C297" s="4" t="s">
        <v>574</v>
      </c>
      <c r="D297">
        <f t="shared" si="1"/>
        <v>0</v>
      </c>
    </row>
    <row r="298" spans="1:4" x14ac:dyDescent="0.25">
      <c r="A298" t="s">
        <v>634</v>
      </c>
      <c r="B298" s="2" t="s">
        <v>38</v>
      </c>
      <c r="C298" s="4" t="s">
        <v>575</v>
      </c>
      <c r="D298">
        <f t="shared" si="1"/>
        <v>0</v>
      </c>
    </row>
    <row r="299" spans="1:4" x14ac:dyDescent="0.25">
      <c r="A299" t="s">
        <v>635</v>
      </c>
      <c r="B299" s="2" t="s">
        <v>38</v>
      </c>
      <c r="C299" s="4" t="s">
        <v>576</v>
      </c>
      <c r="D299">
        <f t="shared" si="1"/>
        <v>0</v>
      </c>
    </row>
    <row r="300" spans="1:4" x14ac:dyDescent="0.25">
      <c r="A300" t="s">
        <v>636</v>
      </c>
      <c r="B300" s="2" t="s">
        <v>38</v>
      </c>
      <c r="C300" s="4" t="s">
        <v>577</v>
      </c>
      <c r="D300">
        <f t="shared" si="1"/>
        <v>0</v>
      </c>
    </row>
    <row r="301" spans="1:4" x14ac:dyDescent="0.25">
      <c r="A301" t="s">
        <v>637</v>
      </c>
      <c r="B301" s="2" t="s">
        <v>38</v>
      </c>
      <c r="C301" s="4" t="s">
        <v>578</v>
      </c>
      <c r="D301">
        <f t="shared" si="1"/>
        <v>0</v>
      </c>
    </row>
    <row r="302" spans="1:4" x14ac:dyDescent="0.25">
      <c r="A302" t="s">
        <v>638</v>
      </c>
      <c r="B302" s="2" t="s">
        <v>38</v>
      </c>
      <c r="C302" s="4" t="s">
        <v>579</v>
      </c>
      <c r="D302">
        <f t="shared" si="1"/>
        <v>0</v>
      </c>
    </row>
    <row r="303" spans="1:4" x14ac:dyDescent="0.25">
      <c r="A303" t="s">
        <v>639</v>
      </c>
      <c r="B303" s="2" t="s">
        <v>38</v>
      </c>
      <c r="C303" s="4" t="s">
        <v>580</v>
      </c>
      <c r="D303">
        <f t="shared" si="1"/>
        <v>0</v>
      </c>
    </row>
    <row r="304" spans="1:4" x14ac:dyDescent="0.25">
      <c r="A304" t="s">
        <v>640</v>
      </c>
      <c r="B304" s="2" t="s">
        <v>38</v>
      </c>
      <c r="C304" s="4" t="s">
        <v>581</v>
      </c>
      <c r="D304">
        <f t="shared" si="1"/>
        <v>0</v>
      </c>
    </row>
    <row r="305" spans="1:4" x14ac:dyDescent="0.25">
      <c r="A305" t="s">
        <v>641</v>
      </c>
      <c r="B305" s="2" t="s">
        <v>38</v>
      </c>
      <c r="C305" s="4" t="s">
        <v>582</v>
      </c>
      <c r="D305">
        <f t="shared" si="1"/>
        <v>0</v>
      </c>
    </row>
    <row r="306" spans="1:4" x14ac:dyDescent="0.25">
      <c r="A306" t="s">
        <v>642</v>
      </c>
      <c r="B306" s="2" t="s">
        <v>38</v>
      </c>
      <c r="C306" s="4" t="s">
        <v>583</v>
      </c>
      <c r="D306">
        <f t="shared" si="1"/>
        <v>0</v>
      </c>
    </row>
  </sheetData>
  <phoneticPr fontId="2" type="noConversion"/>
  <conditionalFormatting sqref="C2:C33">
    <cfRule type="duplicateValues" dxfId="1" priority="2"/>
  </conditionalFormatting>
  <conditionalFormatting sqref="C34:C127">
    <cfRule type="duplicateValues" dxfId="0" priority="1"/>
  </conditionalFormatting>
  <pageMargins left="0.7" right="0.7" top="0.75" bottom="0.75" header="0.3" footer="0.3"/>
  <headerFooter>
    <oddHeader>&amp;R&amp;"arial"&amp;8&amp;K000000 KONE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315a3d-10f3-4290-a9ac-f9b0ff3e5f5e">
      <Terms xmlns="http://schemas.microsoft.com/office/infopath/2007/PartnerControls"/>
    </lcf76f155ced4ddcb4097134ff3c332f>
    <TaxCatchAll xmlns="31583c00-91dc-4cbc-a08d-eb44bc0cfc09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1185E3773A142ADFF0DD3316D5858" ma:contentTypeVersion="20" ma:contentTypeDescription="Create a new document." ma:contentTypeScope="" ma:versionID="e587ae908042432edf45b3075c44b77f">
  <xsd:schema xmlns:xsd="http://www.w3.org/2001/XMLSchema" xmlns:xs="http://www.w3.org/2001/XMLSchema" xmlns:p="http://schemas.microsoft.com/office/2006/metadata/properties" xmlns:ns1="http://schemas.microsoft.com/sharepoint/v3" xmlns:ns2="29315a3d-10f3-4290-a9ac-f9b0ff3e5f5e" xmlns:ns3="5009a61c-9d0b-4b41-bb09-cf6818589286" xmlns:ns4="31583c00-91dc-4cbc-a08d-eb44bc0cfc09" targetNamespace="http://schemas.microsoft.com/office/2006/metadata/properties" ma:root="true" ma:fieldsID="b027b04da0d4c80534ee11be0b2a32bd" ns1:_="" ns2:_="" ns3:_="" ns4:_="">
    <xsd:import namespace="http://schemas.microsoft.com/sharepoint/v3"/>
    <xsd:import namespace="29315a3d-10f3-4290-a9ac-f9b0ff3e5f5e"/>
    <xsd:import namespace="5009a61c-9d0b-4b41-bb09-cf6818589286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15a3d-10f3-4290-a9ac-f9b0ff3e5f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9a61c-9d0b-4b41-bb09-cf6818589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93713ef-acc1-4ed5-a9b9-5073845a5478}" ma:internalName="TaxCatchAll" ma:showField="CatchAllData" ma:web="5009a61c-9d0b-4b41-bb09-cf681858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D39C3-5CFD-441F-AF2F-D989435B862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315a3d-10f3-4290-a9ac-f9b0ff3e5f5e"/>
    <ds:schemaRef ds:uri="31583c00-91dc-4cbc-a08d-eb44bc0cfc09"/>
  </ds:schemaRefs>
</ds:datastoreItem>
</file>

<file path=customXml/itemProps2.xml><?xml version="1.0" encoding="utf-8"?>
<ds:datastoreItem xmlns:ds="http://schemas.openxmlformats.org/officeDocument/2006/customXml" ds:itemID="{61701C27-1AFB-4043-8A79-CFE245349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95C390-D877-4EFC-98FE-527B65C24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315a3d-10f3-4290-a9ac-f9b0ff3e5f5e"/>
    <ds:schemaRef ds:uri="5009a61c-9d0b-4b41-bb09-cf6818589286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</vt:lpstr>
      <vt:lpstr>models</vt:lpstr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KAARTHIK GANAPATHY (EXT)</dc:creator>
  <cp:lastModifiedBy>S KAARTHIK GANAPATHY (EXT)</cp:lastModifiedBy>
  <cp:lastPrinted>2023-03-21T07:37:21Z</cp:lastPrinted>
  <dcterms:created xsi:type="dcterms:W3CDTF">2023-03-21T07:32:13Z</dcterms:created>
  <dcterms:modified xsi:type="dcterms:W3CDTF">2026-02-24T10:27:59Z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0x010100CC41185E3773A142ADFF0DD3316D5858</vt:lpwstr>
  </property>
</Properties>
</file>